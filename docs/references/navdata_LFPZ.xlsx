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gasse\Downloads\20260608 - VEA2026_LFPZ-20260612T121550Z-3-001\20260608 - VEA2026_LFPZ\"/>
    </mc:Choice>
  </mc:AlternateContent>
  <xr:revisionPtr revIDLastSave="0" documentId="13_ncr:1_{9A20742C-E97F-45C0-B736-48BA9CCC7963}" xr6:coauthVersionLast="47" xr6:coauthVersionMax="47" xr10:uidLastSave="{00000000-0000-0000-0000-000000000000}"/>
  <bookViews>
    <workbookView xWindow="-28920" yWindow="-120" windowWidth="29040" windowHeight="17520" tabRatio="500" xr2:uid="{00000000-000D-0000-FFFF-FFFF00000000}"/>
  </bookViews>
  <sheets>
    <sheet name="VEA2026_LFPZ" sheetId="1" r:id="rId1"/>
    <sheet name="Coms" sheetId="2" r:id="rId2"/>
    <sheet name="Performances" sheetId="3" r:id="rId3"/>
    <sheet name="Tool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" l="1"/>
  <c r="B13" i="1" l="1"/>
  <c r="B23" i="4"/>
  <c r="B19" i="4"/>
  <c r="B24" i="4" s="1"/>
  <c r="B25" i="4" s="1"/>
  <c r="D12" i="4"/>
  <c r="E12" i="4" s="1"/>
  <c r="B12" i="4" s="1"/>
  <c r="B13" i="4" s="1"/>
  <c r="C4" i="4"/>
  <c r="C3" i="4"/>
  <c r="G12" i="3"/>
  <c r="F12" i="3"/>
  <c r="G11" i="3"/>
  <c r="F11" i="3"/>
  <c r="G10" i="3"/>
  <c r="F10" i="3"/>
  <c r="G9" i="3"/>
  <c r="F9" i="3"/>
  <c r="G8" i="3"/>
  <c r="F8" i="3"/>
  <c r="B27" i="1"/>
  <c r="B10" i="1"/>
  <c r="D8" i="1"/>
  <c r="B7" i="1"/>
  <c r="B14" i="1" l="1"/>
  <c r="B16" i="1" s="1"/>
  <c r="D16" i="1" s="1"/>
  <c r="B18" i="1" l="1"/>
  <c r="D18" i="1" s="1"/>
  <c r="B20" i="1"/>
  <c r="D20" i="1" l="1"/>
  <c r="B29" i="1"/>
  <c r="B30" i="1" l="1"/>
  <c r="D29" i="1"/>
</calcChain>
</file>

<file path=xl/sharedStrings.xml><?xml version="1.0" encoding="utf-8"?>
<sst xmlns="http://schemas.openxmlformats.org/spreadsheetml/2006/main" count="187" uniqueCount="92">
  <si>
    <t>Fuel planning</t>
  </si>
  <si>
    <t>Aircraft</t>
  </si>
  <si>
    <t>Immatriculation</t>
  </si>
  <si>
    <t>Type</t>
  </si>
  <si>
    <t>TAS</t>
  </si>
  <si>
    <t>kt</t>
  </si>
  <si>
    <t>FB</t>
  </si>
  <si>
    <t>FB = 60 / GS</t>
  </si>
  <si>
    <t>Fuel burn</t>
  </si>
  <si>
    <t>L/h</t>
  </si>
  <si>
    <t>Fuel capacity</t>
  </si>
  <si>
    <t>L</t>
  </si>
  <si>
    <t>Autonomy</t>
  </si>
  <si>
    <t>h:min</t>
  </si>
  <si>
    <t>Flight</t>
  </si>
  <si>
    <t>Distance</t>
  </si>
  <si>
    <t>Nm</t>
  </si>
  <si>
    <t>Raw flight time</t>
  </si>
  <si>
    <t>Wind effect</t>
  </si>
  <si>
    <t>Base flight time</t>
  </si>
  <si>
    <t>Min</t>
  </si>
  <si>
    <t>+ integrations/taxi</t>
  </si>
  <si>
    <t>10min taxi/to, 15min integration/ldg</t>
  </si>
  <si>
    <t>+ other delays/margins</t>
  </si>
  <si>
    <t>10%</t>
  </si>
  <si>
    <t>+ evolutions/sightseeing</t>
  </si>
  <si>
    <t>Patterns and VEA exercices</t>
  </si>
  <si>
    <t>Total flight time</t>
  </si>
  <si>
    <t>+ reserve</t>
  </si>
  <si>
    <t>30min day / 45min night</t>
  </si>
  <si>
    <t>Alternate distance</t>
  </si>
  <si>
    <t>Alt. Wind effect</t>
  </si>
  <si>
    <t>kts</t>
  </si>
  <si>
    <t>+ alternate</t>
  </si>
  <si>
    <t xml:space="preserve">Time to divert + 15min integration/ldg </t>
  </si>
  <si>
    <t>Minimum fuel</t>
  </si>
  <si>
    <t>Airspaces and coms</t>
  </si>
  <si>
    <t>Airspaces</t>
  </si>
  <si>
    <t>Cat</t>
  </si>
  <si>
    <t>Zone</t>
  </si>
  <si>
    <t>Max</t>
  </si>
  <si>
    <t>Fréq.</t>
  </si>
  <si>
    <t>Notes</t>
  </si>
  <si>
    <t>Chevreuse</t>
  </si>
  <si>
    <t>Paris info</t>
  </si>
  <si>
    <t>Performances</t>
  </si>
  <si>
    <t>Weight</t>
  </si>
  <si>
    <t>kg</t>
  </si>
  <si>
    <t>OAT</t>
  </si>
  <si>
    <t>Wind</t>
  </si>
  <si>
    <t>Airfields</t>
  </si>
  <si>
    <t>Terrain</t>
  </si>
  <si>
    <t>Alt.</t>
  </si>
  <si>
    <t>Surface</t>
  </si>
  <si>
    <t>TODA mini</t>
  </si>
  <si>
    <t>LDA mini</t>
  </si>
  <si>
    <t>TODA req.</t>
  </si>
  <si>
    <t>LDA req.</t>
  </si>
  <si>
    <t>LFPN</t>
  </si>
  <si>
    <t>Hard</t>
  </si>
  <si>
    <t>LFOX</t>
  </si>
  <si>
    <t>LFON</t>
  </si>
  <si>
    <t>Grass</t>
  </si>
  <si>
    <t>LFOR</t>
  </si>
  <si>
    <t>LFPZ</t>
  </si>
  <si>
    <t>Speed conversion</t>
  </si>
  <si>
    <t>kts =&gt;</t>
  </si>
  <si>
    <t>km/h</t>
  </si>
  <si>
    <t>km/h =&gt;</t>
  </si>
  <si>
    <t>Effective wind</t>
  </si>
  <si>
    <t xml:space="preserve">Formule : Ve (kt) = Vw (kt) . cos α </t>
  </si>
  <si>
    <t>Vw</t>
  </si>
  <si>
    <t>Route track</t>
  </si>
  <si>
    <t>°</t>
  </si>
  <si>
    <t>Wind dir.</t>
  </si>
  <si>
    <t>Angle</t>
  </si>
  <si>
    <t>Ve</t>
  </si>
  <si>
    <t>Dérive</t>
  </si>
  <si>
    <t>Formule : X max (°) = Vw (kt) . Fb</t>
  </si>
  <si>
    <t>Formule : x (°) = X max (°) . sin α</t>
  </si>
  <si>
    <t xml:space="preserve"> </t>
  </si>
  <si>
    <t>Xmax</t>
  </si>
  <si>
    <t>X</t>
  </si>
  <si>
    <t>FBPCT</t>
  </si>
  <si>
    <t>DR221</t>
  </si>
  <si>
    <t>Toussus-St-Cyr round trip</t>
  </si>
  <si>
    <t>LFPZ 25 nm north</t>
  </si>
  <si>
    <t>Total fuel</t>
  </si>
  <si>
    <t>270 @ 10kt</t>
  </si>
  <si>
    <t>Wind at FL020 270 @ 20kt</t>
  </si>
  <si>
    <t>Base at FL020 270 @ 20kt</t>
  </si>
  <si>
    <t>Total at FL020 270 @ 20kt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</si>
</sst>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;@"/>
    <numFmt numFmtId="165" formatCode="[hh]:mm:ss"/>
    <numFmt numFmtId="166" formatCode="0.000"/>
  </numFmts>
  <fonts count="23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262626"/>
      <name val="Arial"/>
      <family val="2"/>
      <charset val="1"/>
    </font>
    <font>
      <b/>
      <sz val="14"/>
      <color rgb="FF000000"/>
      <name val="Calibri Light"/>
      <family val="2"/>
      <charset val="1"/>
    </font>
    <font>
      <b/>
      <sz val="22"/>
      <color rgb="FF44546A"/>
      <name val="Calibri Light"/>
      <family val="2"/>
      <charset val="1"/>
    </font>
    <font>
      <b/>
      <sz val="11"/>
      <name val="Arial"/>
      <family val="2"/>
      <charset val="1"/>
    </font>
    <font>
      <b/>
      <sz val="11"/>
      <color rgb="FF262626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2"/>
      <name val="Arial"/>
      <family val="2"/>
      <charset val="1"/>
    </font>
    <font>
      <i/>
      <sz val="11"/>
      <color rgb="FFC55A11"/>
      <name val="Calibri"/>
      <family val="2"/>
      <charset val="1"/>
    </font>
    <font>
      <i/>
      <sz val="11"/>
      <name val="Calibri"/>
      <family val="2"/>
      <charset val="1"/>
    </font>
    <font>
      <b/>
      <i/>
      <sz val="11"/>
      <name val="Calibri"/>
      <family val="2"/>
      <charset val="1"/>
    </font>
    <font>
      <i/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i/>
      <strike/>
      <sz val="11"/>
      <name val="Calibri"/>
      <family val="2"/>
      <charset val="1"/>
    </font>
    <font>
      <b/>
      <i/>
      <strike/>
      <sz val="11"/>
      <name val="Calibri"/>
      <family val="2"/>
      <charset val="1"/>
    </font>
    <font>
      <i/>
      <strike/>
      <sz val="10"/>
      <name val="Arial"/>
      <family val="2"/>
      <charset val="1"/>
    </font>
    <font>
      <b/>
      <sz val="11"/>
      <name val="Calibri"/>
      <family val="2"/>
      <charset val="1"/>
    </font>
    <font>
      <i/>
      <sz val="11"/>
      <color rgb="FFC9211E"/>
      <name val="Arial"/>
      <family val="2"/>
      <charset val="1"/>
    </font>
    <font>
      <sz val="11"/>
      <color rgb="FF000000"/>
      <name val="Calibri"/>
      <family val="2"/>
      <charset val="1"/>
    </font>
    <font>
      <strike/>
      <sz val="11"/>
      <name val="Arial"/>
      <family val="2"/>
      <charset val="1"/>
    </font>
    <font>
      <strike/>
      <sz val="11"/>
      <color rgb="FF262626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DAE3F3"/>
        <bgColor rgb="FFD6DCE5"/>
      </patternFill>
    </fill>
    <fill>
      <patternFill patternType="solid">
        <fgColor rgb="FFAFABAB"/>
        <bgColor rgb="FFB2B2B2"/>
      </patternFill>
    </fill>
    <fill>
      <patternFill patternType="solid">
        <fgColor rgb="FFF2F2F2"/>
        <bgColor rgb="FFFBE5D6"/>
      </patternFill>
    </fill>
    <fill>
      <patternFill patternType="solid">
        <fgColor rgb="FFFBE5D6"/>
        <bgColor rgb="FFF2F2F2"/>
      </patternFill>
    </fill>
    <fill>
      <patternFill patternType="solid">
        <fgColor rgb="FFFFFFCC"/>
        <bgColor rgb="FFFFFFD7"/>
      </patternFill>
    </fill>
    <fill>
      <patternFill patternType="solid">
        <fgColor rgb="FFD6DCE5"/>
        <bgColor rgb="FFDDDDDD"/>
      </patternFill>
    </fill>
    <fill>
      <patternFill patternType="solid">
        <fgColor rgb="FFFFFFD7"/>
        <bgColor rgb="FFFFFFCC"/>
      </patternFill>
    </fill>
    <fill>
      <patternFill patternType="solid">
        <fgColor theme="5" tint="0.59987182226020086"/>
        <bgColor rgb="FFFBE5D6"/>
      </patternFill>
    </fill>
  </fills>
  <borders count="12">
    <border>
      <left/>
      <right/>
      <top/>
      <bottom/>
      <diagonal/>
    </border>
    <border>
      <left style="thick">
        <color rgb="FF2F5597"/>
      </left>
      <right style="thick">
        <color rgb="FF2F5597"/>
      </right>
      <top style="thick">
        <color rgb="FF2F5597"/>
      </top>
      <bottom style="thick">
        <color rgb="FF2F5597"/>
      </bottom>
      <diagonal/>
    </border>
    <border>
      <left style="thin">
        <color rgb="FF843C0B"/>
      </left>
      <right style="thin">
        <color rgb="FF843C0B"/>
      </right>
      <top style="thin">
        <color rgb="FF843C0B"/>
      </top>
      <bottom style="thin">
        <color rgb="FF843C0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2F5597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2F559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rgb="FF2F5597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843C0B"/>
      </right>
      <top style="thin">
        <color rgb="FF843C0B"/>
      </top>
      <bottom style="thin">
        <color rgb="FF843C0B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1" fillId="0" borderId="0" applyBorder="0"/>
    <xf numFmtId="0" fontId="2" fillId="2" borderId="0" applyBorder="0"/>
    <xf numFmtId="0" fontId="20" fillId="0" borderId="0" applyBorder="0"/>
    <xf numFmtId="0" fontId="3" fillId="3" borderId="0" applyBorder="0"/>
    <xf numFmtId="0" fontId="4" fillId="0" borderId="0" applyBorder="0"/>
    <xf numFmtId="49" fontId="5" fillId="4" borderId="1">
      <alignment horizontal="center"/>
    </xf>
    <xf numFmtId="0" fontId="10" fillId="5" borderId="2" applyProtection="0"/>
    <xf numFmtId="49" fontId="5" fillId="4" borderId="1" applyProtection="0">
      <alignment horizontal="center"/>
    </xf>
    <xf numFmtId="0" fontId="13" fillId="6" borderId="3" applyProtection="0"/>
    <xf numFmtId="0" fontId="18" fillId="0" borderId="0" applyBorder="0" applyProtection="0"/>
  </cellStyleXfs>
  <cellXfs count="50">
    <xf numFmtId="0" fontId="0" fillId="0" borderId="0" xfId="0"/>
    <xf numFmtId="0" fontId="4" fillId="0" borderId="4" xfId="5" applyBorder="1" applyAlignment="1">
      <alignment horizontal="left"/>
    </xf>
    <xf numFmtId="49" fontId="5" fillId="4" borderId="1" xfId="8" applyProtection="1">
      <alignment horizontal="center"/>
    </xf>
    <xf numFmtId="0" fontId="9" fillId="7" borderId="4" xfId="7" applyFont="1" applyFill="1" applyBorder="1" applyAlignment="1" applyProtection="1">
      <alignment horizontal="left"/>
    </xf>
    <xf numFmtId="0" fontId="4" fillId="0" borderId="4" xfId="5" applyBorder="1"/>
    <xf numFmtId="49" fontId="5" fillId="4" borderId="1" xfId="6">
      <alignment horizontal="center"/>
    </xf>
    <xf numFmtId="0" fontId="20" fillId="0" borderId="0" xfId="3" applyBorder="1"/>
    <xf numFmtId="0" fontId="6" fillId="2" borderId="0" xfId="2" applyFont="1" applyBorder="1"/>
    <xf numFmtId="0" fontId="1" fillId="0" borderId="0" xfId="1" applyBorder="1"/>
    <xf numFmtId="0" fontId="2" fillId="2" borderId="0" xfId="2" applyBorder="1"/>
    <xf numFmtId="2" fontId="3" fillId="3" borderId="0" xfId="4" applyNumberFormat="1" applyBorder="1" applyAlignment="1">
      <alignment horizontal="right" vertical="center"/>
    </xf>
    <xf numFmtId="0" fontId="1" fillId="0" borderId="5" xfId="1" applyBorder="1"/>
    <xf numFmtId="10" fontId="1" fillId="0" borderId="0" xfId="1" applyNumberFormat="1" applyBorder="1"/>
    <xf numFmtId="164" fontId="7" fillId="3" borderId="0" xfId="4" applyNumberFormat="1" applyFont="1" applyBorder="1"/>
    <xf numFmtId="0" fontId="8" fillId="0" borderId="0" xfId="3" applyFont="1" applyBorder="1"/>
    <xf numFmtId="165" fontId="1" fillId="0" borderId="0" xfId="1" applyNumberFormat="1" applyBorder="1"/>
    <xf numFmtId="0" fontId="4" fillId="0" borderId="4" xfId="0" applyFont="1" applyBorder="1"/>
    <xf numFmtId="0" fontId="0" fillId="0" borderId="4" xfId="0" applyBorder="1"/>
    <xf numFmtId="0" fontId="2" fillId="2" borderId="6" xfId="2" applyBorder="1"/>
    <xf numFmtId="2" fontId="3" fillId="3" borderId="0" xfId="4" applyNumberFormat="1" applyBorder="1"/>
    <xf numFmtId="2" fontId="2" fillId="2" borderId="0" xfId="2" applyNumberFormat="1" applyBorder="1"/>
    <xf numFmtId="164" fontId="3" fillId="3" borderId="0" xfId="4" applyNumberFormat="1" applyBorder="1"/>
    <xf numFmtId="164" fontId="0" fillId="0" borderId="0" xfId="0" applyNumberFormat="1"/>
    <xf numFmtId="2" fontId="7" fillId="3" borderId="0" xfId="4" applyNumberFormat="1" applyFont="1" applyBorder="1"/>
    <xf numFmtId="0" fontId="8" fillId="0" borderId="0" xfId="0" applyFont="1" applyAlignment="1">
      <alignment horizontal="center"/>
    </xf>
    <xf numFmtId="166" fontId="12" fillId="8" borderId="2" xfId="7" applyNumberFormat="1" applyFont="1" applyFill="1" applyAlignment="1" applyProtection="1">
      <alignment horizontal="center" vertical="center"/>
    </xf>
    <xf numFmtId="0" fontId="14" fillId="8" borderId="7" xfId="9" applyFont="1" applyFill="1" applyBorder="1" applyAlignment="1" applyProtection="1">
      <alignment horizontal="left" vertical="center"/>
    </xf>
    <xf numFmtId="0" fontId="17" fillId="8" borderId="7" xfId="9" applyFont="1" applyFill="1" applyBorder="1" applyAlignment="1" applyProtection="1">
      <alignment horizontal="left" vertical="center" wrapText="1"/>
    </xf>
    <xf numFmtId="0" fontId="8" fillId="0" borderId="0" xfId="0" applyFont="1"/>
    <xf numFmtId="0" fontId="18" fillId="0" borderId="0" xfId="10" applyBorder="1" applyAlignment="1" applyProtection="1">
      <alignment horizontal="right"/>
    </xf>
    <xf numFmtId="0" fontId="8" fillId="0" borderId="8" xfId="0" applyFont="1" applyBorder="1" applyAlignment="1">
      <alignment horizontal="center"/>
    </xf>
    <xf numFmtId="0" fontId="2" fillId="9" borderId="0" xfId="2" applyFill="1" applyBorder="1"/>
    <xf numFmtId="0" fontId="3" fillId="3" borderId="9" xfId="4" applyBorder="1" applyAlignment="1">
      <alignment horizontal="center" vertical="center"/>
    </xf>
    <xf numFmtId="0" fontId="3" fillId="3" borderId="0" xfId="4" applyBorder="1" applyAlignment="1">
      <alignment horizontal="center" vertical="center"/>
    </xf>
    <xf numFmtId="0" fontId="10" fillId="0" borderId="0" xfId="7" applyFill="1" applyBorder="1" applyAlignment="1" applyProtection="1">
      <alignment horizontal="center" vertical="center"/>
    </xf>
    <xf numFmtId="2" fontId="19" fillId="3" borderId="0" xfId="4" applyNumberFormat="1" applyFont="1" applyBorder="1"/>
    <xf numFmtId="0" fontId="11" fillId="0" borderId="2" xfId="7" applyFont="1" applyFill="1" applyAlignment="1" applyProtection="1">
      <alignment horizontal="center" vertical="center" wrapText="1"/>
    </xf>
    <xf numFmtId="166" fontId="12" fillId="0" borderId="2" xfId="7" applyNumberFormat="1" applyFont="1" applyFill="1" applyAlignment="1" applyProtection="1">
      <alignment horizontal="center" vertical="center"/>
    </xf>
    <xf numFmtId="0" fontId="11" fillId="0" borderId="7" xfId="7" applyFont="1" applyFill="1" applyBorder="1" applyAlignment="1" applyProtection="1">
      <alignment horizontal="center" vertical="center" wrapText="1"/>
    </xf>
    <xf numFmtId="166" fontId="12" fillId="0" borderId="7" xfId="7" applyNumberFormat="1" applyFont="1" applyFill="1" applyBorder="1" applyAlignment="1" applyProtection="1">
      <alignment horizontal="center" vertical="center"/>
    </xf>
    <xf numFmtId="0" fontId="15" fillId="0" borderId="7" xfId="7" applyFont="1" applyFill="1" applyBorder="1" applyAlignment="1" applyProtection="1">
      <alignment horizontal="center" vertical="center" wrapText="1"/>
    </xf>
    <xf numFmtId="166" fontId="16" fillId="0" borderId="7" xfId="7" applyNumberFormat="1" applyFont="1" applyFill="1" applyBorder="1" applyAlignment="1" applyProtection="1">
      <alignment horizontal="center" vertical="center"/>
    </xf>
    <xf numFmtId="0" fontId="11" fillId="0" borderId="10" xfId="7" applyFont="1" applyFill="1" applyBorder="1" applyAlignment="1" applyProtection="1">
      <alignment horizontal="center" vertical="center" wrapText="1"/>
    </xf>
    <xf numFmtId="0" fontId="11" fillId="0" borderId="11" xfId="7" applyFont="1" applyFill="1" applyBorder="1" applyAlignment="1" applyProtection="1">
      <alignment horizontal="center" vertical="center" wrapText="1"/>
    </xf>
    <xf numFmtId="0" fontId="15" fillId="0" borderId="11" xfId="7" applyFont="1" applyFill="1" applyBorder="1" applyAlignment="1" applyProtection="1">
      <alignment horizontal="center" vertical="center" wrapText="1"/>
    </xf>
    <xf numFmtId="0" fontId="0" fillId="0" borderId="7" xfId="0" applyBorder="1"/>
    <xf numFmtId="0" fontId="21" fillId="2" borderId="0" xfId="2" applyFont="1" applyBorder="1"/>
    <xf numFmtId="0" fontId="21" fillId="9" borderId="0" xfId="2" applyFont="1" applyFill="1" applyBorder="1"/>
    <xf numFmtId="0" fontId="22" fillId="3" borderId="9" xfId="4" applyFont="1" applyBorder="1" applyAlignment="1">
      <alignment horizontal="center" vertical="center"/>
    </xf>
    <xf numFmtId="0" fontId="22" fillId="3" borderId="0" xfId="4" applyFont="1" applyBorder="1" applyAlignment="1">
      <alignment horizontal="center" vertical="center"/>
    </xf>
  </cellXfs>
  <cellStyles count="11">
    <cellStyle name="CellComment" xfId="1" xr:uid="{00000000-0005-0000-0000-000006000000}"/>
    <cellStyle name="CellInput" xfId="2" xr:uid="{00000000-0005-0000-0000-000007000000}"/>
    <cellStyle name="CellLegend" xfId="3" xr:uid="{00000000-0005-0000-0000-000008000000}"/>
    <cellStyle name="CellResult" xfId="4" xr:uid="{00000000-0005-0000-0000-000009000000}"/>
    <cellStyle name="Excel Built-in Explanatory Text" xfId="10" xr:uid="{00000000-0005-0000-0000-00000F000000}"/>
    <cellStyle name="Excel Built-in Input" xfId="7" xr:uid="{00000000-0005-0000-0000-00000C000000}"/>
    <cellStyle name="Excel Built-in Note" xfId="9" xr:uid="{00000000-0005-0000-0000-00000E000000}"/>
    <cellStyle name="Excel Built-in Title" xfId="8" xr:uid="{00000000-0005-0000-0000-00000D000000}"/>
    <cellStyle name="Normal" xfId="0" builtinId="0"/>
    <cellStyle name="TitleBlock" xfId="5" xr:uid="{00000000-0005-0000-0000-00000A000000}"/>
    <cellStyle name="TitleSheet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729FCF"/>
      <rgbColor rgb="FFC9211E"/>
      <rgbColor rgb="FFFFFFCC"/>
      <rgbColor rgb="FFDAE3F3"/>
      <rgbColor rgb="FF660066"/>
      <rgbColor rgb="FFFF7B59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5D6"/>
      <rgbColor rgb="FFDDDDDD"/>
      <rgbColor rgb="FFFFFFD7"/>
      <rgbColor rgb="FF99CCFF"/>
      <rgbColor rgb="FFFF99CC"/>
      <rgbColor rgb="FFCC99FF"/>
      <rgbColor rgb="FFF8CBAD"/>
      <rgbColor rgb="FF3366FF"/>
      <rgbColor rgb="FF33CCCC"/>
      <rgbColor rgb="FF81D41A"/>
      <rgbColor rgb="FFFFCC00"/>
      <rgbColor rgb="FFFF9900"/>
      <rgbColor rgb="FFC55A11"/>
      <rgbColor rgb="FF44546A"/>
      <rgbColor rgb="FFAFABAB"/>
      <rgbColor rgb="FF003366"/>
      <rgbColor rgb="FF339966"/>
      <rgbColor rgb="FF003300"/>
      <rgbColor rgb="FF333300"/>
      <rgbColor rgb="FF843C0B"/>
      <rgbColor rgb="FF993366"/>
      <rgbColor rgb="FF2F5597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tabSelected="1" zoomScaleNormal="100" workbookViewId="0">
      <selection activeCell="F16" sqref="F16"/>
    </sheetView>
  </sheetViews>
  <sheetFormatPr defaultColWidth="9.28515625" defaultRowHeight="15" customHeight="1" x14ac:dyDescent="0.25"/>
  <cols>
    <col min="1" max="1" width="23.140625" customWidth="1"/>
    <col min="2" max="2" width="16.5703125" customWidth="1"/>
    <col min="3" max="3" width="4.42578125" customWidth="1"/>
    <col min="4" max="5" width="6.42578125" customWidth="1"/>
    <col min="6" max="6" width="47.28515625" customWidth="1"/>
  </cols>
  <sheetData>
    <row r="1" spans="1:6" ht="28.5" x14ac:dyDescent="0.45">
      <c r="A1" s="5" t="s">
        <v>0</v>
      </c>
      <c r="B1" s="5"/>
      <c r="C1" s="5"/>
      <c r="D1" s="5"/>
      <c r="E1" s="5"/>
      <c r="F1" s="5"/>
    </row>
    <row r="2" spans="1:6" ht="6" customHeight="1" x14ac:dyDescent="0.25"/>
    <row r="3" spans="1:6" ht="18.75" x14ac:dyDescent="0.3">
      <c r="A3" s="4" t="s">
        <v>1</v>
      </c>
      <c r="B3" s="4"/>
      <c r="C3" s="4"/>
      <c r="D3" s="4"/>
      <c r="E3" s="4"/>
      <c r="F3" s="4"/>
    </row>
    <row r="4" spans="1:6" x14ac:dyDescent="0.25">
      <c r="A4" s="6" t="s">
        <v>2</v>
      </c>
      <c r="B4" s="7" t="s">
        <v>83</v>
      </c>
      <c r="C4" s="6"/>
      <c r="D4" s="8"/>
    </row>
    <row r="5" spans="1:6" x14ac:dyDescent="0.25">
      <c r="A5" s="6" t="s">
        <v>3</v>
      </c>
      <c r="B5" s="9" t="s">
        <v>84</v>
      </c>
      <c r="C5" s="6"/>
      <c r="D5" s="8"/>
    </row>
    <row r="6" spans="1:6" x14ac:dyDescent="0.25">
      <c r="A6" s="6" t="s">
        <v>4</v>
      </c>
      <c r="B6" s="9">
        <v>108</v>
      </c>
      <c r="C6" s="6" t="s">
        <v>5</v>
      </c>
      <c r="D6" s="8"/>
    </row>
    <row r="7" spans="1:6" x14ac:dyDescent="0.25">
      <c r="A7" s="6" t="s">
        <v>6</v>
      </c>
      <c r="B7" s="10">
        <f>60/B6</f>
        <v>0.55555555555555558</v>
      </c>
      <c r="C7" s="6"/>
      <c r="D7" s="11" t="s">
        <v>7</v>
      </c>
    </row>
    <row r="8" spans="1:6" x14ac:dyDescent="0.25">
      <c r="A8" s="6" t="s">
        <v>8</v>
      </c>
      <c r="B8" s="9">
        <v>25</v>
      </c>
      <c r="C8" s="6" t="s">
        <v>9</v>
      </c>
      <c r="D8" s="12" t="str">
        <f>"75%"</f>
        <v>75%</v>
      </c>
    </row>
    <row r="9" spans="1:6" x14ac:dyDescent="0.25">
      <c r="A9" s="6" t="s">
        <v>10</v>
      </c>
      <c r="B9" s="9">
        <v>110</v>
      </c>
      <c r="C9" s="6" t="s">
        <v>11</v>
      </c>
      <c r="D9" s="8"/>
    </row>
    <row r="10" spans="1:6" x14ac:dyDescent="0.25">
      <c r="A10" s="6" t="s">
        <v>12</v>
      </c>
      <c r="B10" s="13">
        <f>(B9/B8)/24</f>
        <v>0.18333333333333335</v>
      </c>
      <c r="C10" s="14" t="s">
        <v>13</v>
      </c>
      <c r="D10" s="15"/>
    </row>
    <row r="11" spans="1:6" ht="8.25" customHeight="1" x14ac:dyDescent="0.25"/>
    <row r="12" spans="1:6" ht="18.75" customHeight="1" x14ac:dyDescent="0.3">
      <c r="A12" s="16" t="s">
        <v>14</v>
      </c>
      <c r="B12" s="3" t="s">
        <v>85</v>
      </c>
      <c r="C12" s="3"/>
      <c r="D12" s="3"/>
      <c r="E12" s="3"/>
      <c r="F12" s="17"/>
    </row>
    <row r="13" spans="1:6" x14ac:dyDescent="0.25">
      <c r="A13" s="14" t="s">
        <v>15</v>
      </c>
      <c r="B13" s="18">
        <f>25+34</f>
        <v>59</v>
      </c>
      <c r="C13" s="6" t="s">
        <v>16</v>
      </c>
      <c r="F13" s="8"/>
    </row>
    <row r="14" spans="1:6" x14ac:dyDescent="0.25">
      <c r="A14" s="6" t="s">
        <v>17</v>
      </c>
      <c r="B14" s="19">
        <f>B13*$B$7</f>
        <v>32.777777777777779</v>
      </c>
      <c r="C14" s="6"/>
      <c r="F14" s="8"/>
    </row>
    <row r="15" spans="1:6" x14ac:dyDescent="0.25">
      <c r="A15" s="6" t="s">
        <v>18</v>
      </c>
      <c r="B15" s="20">
        <v>0</v>
      </c>
      <c r="C15" s="6"/>
      <c r="F15" s="8" t="s">
        <v>89</v>
      </c>
    </row>
    <row r="16" spans="1:6" x14ac:dyDescent="0.25">
      <c r="A16" s="6" t="s">
        <v>19</v>
      </c>
      <c r="B16" s="19">
        <f>B14+B15</f>
        <v>32.777777777777779</v>
      </c>
      <c r="C16" s="6" t="s">
        <v>20</v>
      </c>
      <c r="D16" s="21">
        <f>B16/24/60</f>
        <v>2.2762345679012346E-2</v>
      </c>
      <c r="E16" s="6" t="s">
        <v>13</v>
      </c>
      <c r="F16" s="8"/>
    </row>
    <row r="17" spans="1:6" x14ac:dyDescent="0.25">
      <c r="A17" s="6" t="s">
        <v>21</v>
      </c>
      <c r="B17" s="20">
        <v>25</v>
      </c>
      <c r="C17" s="6" t="s">
        <v>20</v>
      </c>
      <c r="D17" s="22"/>
      <c r="E17" s="6"/>
      <c r="F17" s="8" t="s">
        <v>22</v>
      </c>
    </row>
    <row r="18" spans="1:6" x14ac:dyDescent="0.25">
      <c r="A18" s="6" t="s">
        <v>23</v>
      </c>
      <c r="B18" s="20">
        <f>B16*10/100</f>
        <v>3.2777777777777777</v>
      </c>
      <c r="C18" s="6" t="s">
        <v>20</v>
      </c>
      <c r="D18" s="21">
        <f>B18/24/60</f>
        <v>2.2762345679012345E-3</v>
      </c>
      <c r="E18" s="6" t="s">
        <v>13</v>
      </c>
      <c r="F18" s="12" t="s">
        <v>24</v>
      </c>
    </row>
    <row r="19" spans="1:6" x14ac:dyDescent="0.25">
      <c r="A19" s="6" t="s">
        <v>25</v>
      </c>
      <c r="B19" s="20">
        <v>30</v>
      </c>
      <c r="C19" s="6" t="s">
        <v>20</v>
      </c>
      <c r="E19" s="6"/>
      <c r="F19" s="8" t="s">
        <v>26</v>
      </c>
    </row>
    <row r="20" spans="1:6" x14ac:dyDescent="0.25">
      <c r="A20" s="14" t="s">
        <v>27</v>
      </c>
      <c r="B20" s="19">
        <f>B16+B17+B18+B19</f>
        <v>91.055555555555557</v>
      </c>
      <c r="C20" s="6" t="s">
        <v>20</v>
      </c>
      <c r="D20" s="13">
        <f>B20/24/60</f>
        <v>6.3233024691358025E-2</v>
      </c>
      <c r="E20" s="14" t="s">
        <v>13</v>
      </c>
      <c r="F20" s="8"/>
    </row>
    <row r="21" spans="1:6" x14ac:dyDescent="0.25">
      <c r="A21" s="14" t="s">
        <v>87</v>
      </c>
      <c r="B21" s="23">
        <f>B20/60*$B$8</f>
        <v>37.939814814814817</v>
      </c>
      <c r="C21" s="14" t="s">
        <v>11</v>
      </c>
      <c r="D21" s="13"/>
      <c r="E21" s="14"/>
      <c r="F21" s="8"/>
    </row>
    <row r="22" spans="1:6" ht="7.5" customHeight="1" x14ac:dyDescent="0.25">
      <c r="A22" s="6"/>
      <c r="B22" s="8"/>
      <c r="C22" s="6"/>
      <c r="D22" s="8"/>
      <c r="E22" s="14"/>
      <c r="F22" s="8"/>
    </row>
    <row r="23" spans="1:6" x14ac:dyDescent="0.25">
      <c r="A23" s="6" t="s">
        <v>28</v>
      </c>
      <c r="B23" s="20">
        <v>30</v>
      </c>
      <c r="C23" s="6" t="s">
        <v>20</v>
      </c>
      <c r="E23" s="6"/>
      <c r="F23" s="8" t="s">
        <v>29</v>
      </c>
    </row>
    <row r="24" spans="1:6" ht="7.5" customHeight="1" x14ac:dyDescent="0.25">
      <c r="A24" s="6"/>
      <c r="B24" s="6"/>
      <c r="C24" s="6"/>
      <c r="E24" s="6"/>
      <c r="F24" s="8"/>
    </row>
    <row r="25" spans="1:6" x14ac:dyDescent="0.25">
      <c r="A25" s="6" t="s">
        <v>30</v>
      </c>
      <c r="B25" s="20">
        <v>10</v>
      </c>
      <c r="C25" s="6" t="s">
        <v>16</v>
      </c>
      <c r="E25" s="6"/>
      <c r="F25" s="8" t="s">
        <v>86</v>
      </c>
    </row>
    <row r="26" spans="1:6" x14ac:dyDescent="0.25">
      <c r="A26" s="6" t="s">
        <v>31</v>
      </c>
      <c r="B26" s="20">
        <v>0</v>
      </c>
      <c r="C26" s="6" t="s">
        <v>32</v>
      </c>
      <c r="E26" s="6"/>
      <c r="F26" s="8"/>
    </row>
    <row r="27" spans="1:6" x14ac:dyDescent="0.25">
      <c r="A27" s="6" t="s">
        <v>33</v>
      </c>
      <c r="B27" s="19">
        <f>B25*60/(B6+B26)+15</f>
        <v>20.555555555555557</v>
      </c>
      <c r="C27" s="6" t="s">
        <v>20</v>
      </c>
      <c r="E27" s="6"/>
      <c r="F27" s="8" t="s">
        <v>34</v>
      </c>
    </row>
    <row r="28" spans="1:6" x14ac:dyDescent="0.25">
      <c r="A28" s="6"/>
      <c r="B28" s="20"/>
      <c r="C28" s="6"/>
      <c r="E28" s="6"/>
      <c r="F28" s="8"/>
    </row>
    <row r="29" spans="1:6" x14ac:dyDescent="0.25">
      <c r="A29" s="6" t="s">
        <v>35</v>
      </c>
      <c r="B29" s="19">
        <f>B20+B23+B27</f>
        <v>141.61111111111111</v>
      </c>
      <c r="C29" s="6" t="s">
        <v>20</v>
      </c>
      <c r="D29" s="13">
        <f>B29/24/60</f>
        <v>9.8341049382716053E-2</v>
      </c>
      <c r="E29" s="14" t="s">
        <v>13</v>
      </c>
      <c r="F29" s="8"/>
    </row>
    <row r="30" spans="1:6" x14ac:dyDescent="0.25">
      <c r="A30" s="6" t="s">
        <v>35</v>
      </c>
      <c r="B30" s="23">
        <f>B29/60*$B$8</f>
        <v>59.004629629629633</v>
      </c>
      <c r="C30" s="14" t="s">
        <v>11</v>
      </c>
      <c r="F30" s="8"/>
    </row>
    <row r="31" spans="1:6" x14ac:dyDescent="0.25">
      <c r="A31" s="6"/>
      <c r="B31" s="8"/>
      <c r="C31" s="14"/>
      <c r="F31" s="8"/>
    </row>
    <row r="1048536" x14ac:dyDescent="0.25"/>
    <row r="1048537" x14ac:dyDescent="0.25"/>
    <row r="1048538" x14ac:dyDescent="0.25"/>
    <row r="1048539" x14ac:dyDescent="0.25"/>
    <row r="1048540" x14ac:dyDescent="0.25"/>
    <row r="1048541" x14ac:dyDescent="0.25"/>
    <row r="1048542" x14ac:dyDescent="0.25"/>
    <row r="1048543" x14ac:dyDescent="0.25"/>
    <row r="1048544" x14ac:dyDescent="0.25"/>
    <row r="1048545" x14ac:dyDescent="0.25"/>
    <row r="1048546" x14ac:dyDescent="0.25"/>
    <row r="1048547" x14ac:dyDescent="0.25"/>
    <row r="1048548" x14ac:dyDescent="0.25"/>
    <row r="1048549" x14ac:dyDescent="0.25"/>
    <row r="1048550" x14ac:dyDescent="0.25"/>
    <row r="1048551" x14ac:dyDescent="0.25"/>
    <row r="1048552" x14ac:dyDescent="0.25"/>
    <row r="1048553" x14ac:dyDescent="0.25"/>
    <row r="1048554" x14ac:dyDescent="0.25"/>
    <row r="1048555" x14ac:dyDescent="0.25"/>
    <row r="1048556" x14ac:dyDescent="0.25"/>
    <row r="1048557" x14ac:dyDescent="0.25"/>
    <row r="1048558" x14ac:dyDescent="0.25"/>
    <row r="1048559" x14ac:dyDescent="0.25"/>
    <row r="1048560" x14ac:dyDescent="0.25"/>
    <row r="1048561" x14ac:dyDescent="0.25"/>
    <row r="1048562" x14ac:dyDescent="0.25"/>
    <row r="1048563" x14ac:dyDescent="0.25"/>
    <row r="1048564" x14ac:dyDescent="0.25"/>
    <row r="1048565" x14ac:dyDescent="0.25"/>
    <row r="1048566" x14ac:dyDescent="0.25"/>
    <row r="1048567" x14ac:dyDescent="0.25"/>
    <row r="1048568" x14ac:dyDescent="0.25"/>
    <row r="1048569" x14ac:dyDescent="0.25"/>
    <row r="1048570" x14ac:dyDescent="0.25"/>
    <row r="1048571" x14ac:dyDescent="0.25"/>
    <row r="1048572" x14ac:dyDescent="0.25"/>
    <row r="1048573" x14ac:dyDescent="0.25"/>
    <row r="1048574" x14ac:dyDescent="0.25"/>
    <row r="1048575" x14ac:dyDescent="0.25"/>
    <row r="1048576" x14ac:dyDescent="0.25"/>
  </sheetData>
  <mergeCells count="3">
    <mergeCell ref="A1:F1"/>
    <mergeCell ref="A3:F3"/>
    <mergeCell ref="B12:E12"/>
  </mergeCells>
  <pageMargins left="0.25" right="0.25" top="0.75" bottom="0.75" header="0.3" footer="0.3"/>
  <pageSetup paperSize="9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Normal="100" workbookViewId="0">
      <selection activeCell="H15" sqref="H15"/>
    </sheetView>
  </sheetViews>
  <sheetFormatPr defaultColWidth="10.7109375" defaultRowHeight="15" customHeight="1" x14ac:dyDescent="0.25"/>
  <cols>
    <col min="2" max="2" width="16.42578125" customWidth="1"/>
    <col min="4" max="4" width="13.85546875" customWidth="1"/>
    <col min="6" max="6" width="24.42578125" customWidth="1"/>
  </cols>
  <sheetData>
    <row r="1" spans="1:6" ht="28.5" x14ac:dyDescent="0.45">
      <c r="A1" s="2" t="s">
        <v>36</v>
      </c>
      <c r="B1" s="2"/>
      <c r="C1" s="2"/>
      <c r="D1" s="2"/>
      <c r="E1" s="2"/>
      <c r="F1" s="2"/>
    </row>
    <row r="2" spans="1:6" x14ac:dyDescent="0.25"/>
    <row r="3" spans="1:6" ht="18.75" x14ac:dyDescent="0.3">
      <c r="A3" s="1" t="s">
        <v>37</v>
      </c>
      <c r="B3" s="1"/>
      <c r="C3" s="1"/>
      <c r="D3" s="1"/>
      <c r="E3" s="1"/>
      <c r="F3" s="1"/>
    </row>
    <row r="4" spans="1:6" x14ac:dyDescent="0.25">
      <c r="A4" s="24" t="s">
        <v>38</v>
      </c>
      <c r="B4" s="24" t="s">
        <v>39</v>
      </c>
      <c r="C4" s="24" t="s">
        <v>20</v>
      </c>
      <c r="D4" s="24" t="s">
        <v>40</v>
      </c>
      <c r="E4" s="24" t="s">
        <v>41</v>
      </c>
      <c r="F4" s="24" t="s">
        <v>42</v>
      </c>
    </row>
    <row r="5" spans="1:6" x14ac:dyDescent="0.25">
      <c r="A5" s="45"/>
      <c r="B5" s="42" t="s">
        <v>43</v>
      </c>
      <c r="C5" s="36"/>
      <c r="D5" s="36"/>
      <c r="E5" s="37"/>
      <c r="F5" s="25"/>
    </row>
    <row r="6" spans="1:6" x14ac:dyDescent="0.25">
      <c r="A6" s="45"/>
      <c r="B6" s="42" t="s">
        <v>44</v>
      </c>
      <c r="C6" s="36"/>
      <c r="D6" s="36"/>
      <c r="E6" s="37"/>
      <c r="F6" s="25"/>
    </row>
    <row r="7" spans="1:6" x14ac:dyDescent="0.25">
      <c r="A7" s="45"/>
      <c r="B7" s="43"/>
      <c r="C7" s="38"/>
      <c r="D7" s="38"/>
      <c r="E7" s="39"/>
      <c r="F7" s="26"/>
    </row>
    <row r="8" spans="1:6" x14ac:dyDescent="0.25">
      <c r="A8" s="40"/>
      <c r="B8" s="44"/>
      <c r="C8" s="40"/>
      <c r="D8" s="40"/>
      <c r="E8" s="41"/>
      <c r="F8" s="27"/>
    </row>
    <row r="9" spans="1:6" x14ac:dyDescent="0.25">
      <c r="A9" s="38"/>
      <c r="B9" s="38"/>
      <c r="C9" s="38"/>
      <c r="D9" s="38"/>
      <c r="E9" s="39"/>
      <c r="F9" s="26"/>
    </row>
    <row r="10" spans="1:6" x14ac:dyDescent="0.25">
      <c r="A10" s="38"/>
      <c r="B10" s="38"/>
      <c r="C10" s="38"/>
      <c r="D10" s="38"/>
      <c r="E10" s="39"/>
      <c r="F10" s="26"/>
    </row>
    <row r="11" spans="1:6" x14ac:dyDescent="0.25">
      <c r="A11" s="40"/>
      <c r="B11" s="40"/>
      <c r="C11" s="40"/>
      <c r="D11" s="40"/>
      <c r="E11" s="41"/>
      <c r="F11" s="27"/>
    </row>
    <row r="12" spans="1:6" x14ac:dyDescent="0.25">
      <c r="A12" s="40"/>
      <c r="B12" s="40"/>
      <c r="C12" s="40"/>
      <c r="D12" s="40"/>
      <c r="E12" s="41"/>
      <c r="F12" s="27"/>
    </row>
    <row r="13" spans="1:6" x14ac:dyDescent="0.25">
      <c r="A13" s="38"/>
      <c r="B13" s="38"/>
      <c r="C13" s="38"/>
      <c r="D13" s="38"/>
      <c r="E13" s="39"/>
      <c r="F13" s="26"/>
    </row>
    <row r="14" spans="1:6" x14ac:dyDescent="0.25">
      <c r="A14" s="38"/>
      <c r="B14" s="38"/>
      <c r="C14" s="38"/>
      <c r="D14" s="38"/>
      <c r="E14" s="39"/>
      <c r="F14" s="26"/>
    </row>
    <row r="15" spans="1:6" x14ac:dyDescent="0.25">
      <c r="A15" s="38"/>
      <c r="B15" s="38"/>
      <c r="C15" s="38"/>
      <c r="D15" s="38"/>
      <c r="E15" s="39"/>
      <c r="F15" s="26"/>
    </row>
    <row r="16" spans="1:6" x14ac:dyDescent="0.25">
      <c r="A16" s="38"/>
      <c r="B16" s="38"/>
      <c r="C16" s="38"/>
      <c r="D16" s="38"/>
      <c r="E16" s="39"/>
      <c r="F16" s="26"/>
    </row>
    <row r="17" spans="1:6" x14ac:dyDescent="0.25">
      <c r="A17" s="38"/>
      <c r="B17" s="38"/>
      <c r="C17" s="38"/>
      <c r="D17" s="38"/>
      <c r="E17" s="39"/>
      <c r="F17" s="26"/>
    </row>
    <row r="18" spans="1:6" x14ac:dyDescent="0.25">
      <c r="A18" s="38"/>
      <c r="B18" s="38"/>
      <c r="C18" s="38"/>
      <c r="D18" s="38"/>
      <c r="E18" s="39"/>
      <c r="F18" s="26"/>
    </row>
    <row r="19" spans="1:6" x14ac:dyDescent="0.25">
      <c r="A19" s="38"/>
      <c r="B19" s="38"/>
      <c r="C19" s="38"/>
      <c r="D19" s="38"/>
      <c r="E19" s="39"/>
      <c r="F19" s="26"/>
    </row>
    <row r="20" spans="1:6" x14ac:dyDescent="0.25">
      <c r="A20" s="38"/>
      <c r="B20" s="38"/>
      <c r="C20" s="38"/>
      <c r="D20" s="38"/>
      <c r="E20" s="39"/>
      <c r="F20" s="26"/>
    </row>
    <row r="21" spans="1:6" x14ac:dyDescent="0.25">
      <c r="A21" s="40"/>
      <c r="B21" s="40"/>
      <c r="C21" s="40"/>
      <c r="D21" s="40"/>
      <c r="E21" s="41"/>
      <c r="F21" s="27"/>
    </row>
    <row r="22" spans="1:6" x14ac:dyDescent="0.25">
      <c r="A22" s="38"/>
      <c r="B22" s="38"/>
      <c r="C22" s="38"/>
      <c r="D22" s="38"/>
      <c r="E22" s="39"/>
      <c r="F22" s="26"/>
    </row>
    <row r="23" spans="1:6" x14ac:dyDescent="0.25">
      <c r="A23" s="38"/>
      <c r="B23" s="38"/>
      <c r="C23" s="38"/>
      <c r="D23" s="38"/>
      <c r="E23" s="39"/>
      <c r="F23" s="26"/>
    </row>
    <row r="24" spans="1:6" x14ac:dyDescent="0.25">
      <c r="A24" s="36"/>
      <c r="B24" s="36"/>
      <c r="C24" s="36"/>
      <c r="D24" s="36"/>
      <c r="E24" s="37"/>
      <c r="F24" s="25"/>
    </row>
    <row r="25" spans="1:6" x14ac:dyDescent="0.25">
      <c r="A25" s="36"/>
      <c r="B25" s="36"/>
      <c r="C25" s="36"/>
      <c r="D25" s="36"/>
      <c r="E25" s="37"/>
      <c r="F25" s="25"/>
    </row>
  </sheetData>
  <mergeCells count="2">
    <mergeCell ref="A1:F1"/>
    <mergeCell ref="A3:F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zoomScaleNormal="100" workbookViewId="0">
      <selection activeCell="G20" sqref="G20"/>
    </sheetView>
  </sheetViews>
  <sheetFormatPr defaultColWidth="10.7109375" defaultRowHeight="15" customHeight="1" x14ac:dyDescent="0.25"/>
  <sheetData>
    <row r="1" spans="1:9" ht="28.5" x14ac:dyDescent="0.45">
      <c r="A1" s="5" t="s">
        <v>45</v>
      </c>
      <c r="B1" s="5"/>
      <c r="C1" s="5"/>
      <c r="D1" s="5"/>
      <c r="E1" s="5"/>
      <c r="F1" s="5"/>
      <c r="G1" s="5"/>
      <c r="H1" s="5"/>
      <c r="I1" s="5"/>
    </row>
    <row r="3" spans="1:9" x14ac:dyDescent="0.25">
      <c r="A3" s="6" t="s">
        <v>46</v>
      </c>
      <c r="B3" s="20">
        <v>764</v>
      </c>
      <c r="C3" t="s">
        <v>47</v>
      </c>
    </row>
    <row r="4" spans="1:9" ht="15" customHeight="1" x14ac:dyDescent="0.25">
      <c r="A4" t="s">
        <v>48</v>
      </c>
      <c r="B4">
        <v>24</v>
      </c>
    </row>
    <row r="5" spans="1:9" x14ac:dyDescent="0.25">
      <c r="A5" s="8" t="s">
        <v>49</v>
      </c>
      <c r="B5" t="s">
        <v>88</v>
      </c>
      <c r="C5" s="28"/>
    </row>
    <row r="6" spans="1:9" ht="18.75" x14ac:dyDescent="0.3">
      <c r="A6" s="1" t="s">
        <v>50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29" t="s">
        <v>51</v>
      </c>
      <c r="B7" s="24" t="s">
        <v>52</v>
      </c>
      <c r="C7" s="24" t="s">
        <v>53</v>
      </c>
      <c r="D7" s="24" t="s">
        <v>54</v>
      </c>
      <c r="E7" s="24" t="s">
        <v>55</v>
      </c>
      <c r="F7" s="24" t="s">
        <v>48</v>
      </c>
      <c r="G7" s="24" t="s">
        <v>49</v>
      </c>
      <c r="H7" s="30" t="s">
        <v>56</v>
      </c>
      <c r="I7" s="24" t="s">
        <v>57</v>
      </c>
    </row>
    <row r="8" spans="1:9" x14ac:dyDescent="0.25">
      <c r="A8" s="9" t="s">
        <v>58</v>
      </c>
      <c r="B8" s="9">
        <v>538</v>
      </c>
      <c r="C8" s="9" t="s">
        <v>59</v>
      </c>
      <c r="D8" s="9">
        <v>1100</v>
      </c>
      <c r="E8" s="9">
        <v>1100</v>
      </c>
      <c r="F8" s="31">
        <f>$B$4</f>
        <v>24</v>
      </c>
      <c r="G8" s="31" t="str">
        <f>$B$5</f>
        <v>270 @ 10kt</v>
      </c>
      <c r="H8" s="32">
        <v>418</v>
      </c>
      <c r="I8" s="33">
        <v>515</v>
      </c>
    </row>
    <row r="9" spans="1:9" x14ac:dyDescent="0.25">
      <c r="A9" s="46" t="s">
        <v>60</v>
      </c>
      <c r="B9" s="46">
        <v>494</v>
      </c>
      <c r="C9" s="46" t="s">
        <v>59</v>
      </c>
      <c r="D9" s="46">
        <v>700</v>
      </c>
      <c r="E9" s="46">
        <v>700</v>
      </c>
      <c r="F9" s="47">
        <f>$B$4</f>
        <v>24</v>
      </c>
      <c r="G9" s="47" t="str">
        <f>$B$5</f>
        <v>270 @ 10kt</v>
      </c>
      <c r="H9" s="48">
        <v>489</v>
      </c>
      <c r="I9" s="49">
        <v>455</v>
      </c>
    </row>
    <row r="10" spans="1:9" x14ac:dyDescent="0.25">
      <c r="A10" s="46" t="s">
        <v>61</v>
      </c>
      <c r="B10" s="46">
        <v>445</v>
      </c>
      <c r="C10" s="46" t="s">
        <v>62</v>
      </c>
      <c r="D10" s="46">
        <v>720</v>
      </c>
      <c r="E10" s="46">
        <v>650</v>
      </c>
      <c r="F10" s="47">
        <f>$B$4</f>
        <v>24</v>
      </c>
      <c r="G10" s="47" t="str">
        <f>$B$5</f>
        <v>270 @ 10kt</v>
      </c>
      <c r="H10" s="48">
        <v>607</v>
      </c>
      <c r="I10" s="49">
        <v>477</v>
      </c>
    </row>
    <row r="11" spans="1:9" x14ac:dyDescent="0.25">
      <c r="A11" s="46" t="s">
        <v>63</v>
      </c>
      <c r="B11" s="46">
        <v>509</v>
      </c>
      <c r="C11" s="46" t="s">
        <v>59</v>
      </c>
      <c r="D11" s="46">
        <v>900</v>
      </c>
      <c r="E11" s="46">
        <v>900</v>
      </c>
      <c r="F11" s="47">
        <f>$B$4</f>
        <v>24</v>
      </c>
      <c r="G11" s="47" t="str">
        <f>$B$5</f>
        <v>270 @ 10kt</v>
      </c>
      <c r="H11" s="48">
        <v>478</v>
      </c>
      <c r="I11" s="49">
        <v>444</v>
      </c>
    </row>
    <row r="12" spans="1:9" x14ac:dyDescent="0.25">
      <c r="A12" s="9" t="s">
        <v>64</v>
      </c>
      <c r="B12" s="9">
        <v>372</v>
      </c>
      <c r="C12" s="9" t="s">
        <v>62</v>
      </c>
      <c r="D12" s="9">
        <v>715</v>
      </c>
      <c r="E12" s="9">
        <v>615</v>
      </c>
      <c r="F12" s="31">
        <f>$B$4</f>
        <v>24</v>
      </c>
      <c r="G12" s="31" t="str">
        <f>$B$5</f>
        <v>270 @ 10kt</v>
      </c>
      <c r="H12" s="32">
        <v>510</v>
      </c>
      <c r="I12" s="33">
        <v>522</v>
      </c>
    </row>
    <row r="13" spans="1:9" x14ac:dyDescent="0.25">
      <c r="A13" s="9"/>
      <c r="B13" s="9"/>
      <c r="C13" s="9"/>
      <c r="D13" s="9"/>
      <c r="E13" s="9"/>
      <c r="F13" s="31"/>
      <c r="G13" s="31"/>
      <c r="H13" s="32"/>
      <c r="I13" s="33"/>
    </row>
    <row r="14" spans="1:9" x14ac:dyDescent="0.25">
      <c r="B14" s="34"/>
      <c r="C14" s="34"/>
      <c r="D14" s="34"/>
      <c r="E14" s="34"/>
      <c r="F14" s="34"/>
      <c r="G14" s="34"/>
      <c r="H14" s="34"/>
    </row>
    <row r="15" spans="1:9" x14ac:dyDescent="0.25">
      <c r="A15" s="8"/>
    </row>
  </sheetData>
  <mergeCells count="2">
    <mergeCell ref="A1:I1"/>
    <mergeCell ref="A6:I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zoomScaleNormal="100" workbookViewId="0">
      <selection activeCell="B12" sqref="B12"/>
    </sheetView>
  </sheetViews>
  <sheetFormatPr defaultColWidth="10.85546875" defaultRowHeight="15" customHeight="1" x14ac:dyDescent="0.25"/>
  <cols>
    <col min="15" max="15" width="12.140625" customWidth="1"/>
  </cols>
  <sheetData>
    <row r="1" spans="1:6" ht="18.75" x14ac:dyDescent="0.3">
      <c r="A1" s="4" t="s">
        <v>65</v>
      </c>
      <c r="B1" s="4"/>
      <c r="C1" s="4"/>
      <c r="D1" s="4"/>
      <c r="E1" s="4"/>
      <c r="F1" s="4"/>
    </row>
    <row r="2" spans="1:6" ht="8.25" customHeight="1" x14ac:dyDescent="0.25"/>
    <row r="3" spans="1:6" x14ac:dyDescent="0.25">
      <c r="A3" s="9">
        <v>1</v>
      </c>
      <c r="B3" s="6" t="s">
        <v>66</v>
      </c>
      <c r="C3" s="19">
        <f>A3*1.852</f>
        <v>1.8520000000000001</v>
      </c>
      <c r="D3" t="s">
        <v>67</v>
      </c>
    </row>
    <row r="4" spans="1:6" x14ac:dyDescent="0.25">
      <c r="A4" s="9">
        <v>200</v>
      </c>
      <c r="B4" s="6" t="s">
        <v>68</v>
      </c>
      <c r="C4" s="19">
        <f>A4*0.539957</f>
        <v>107.9914</v>
      </c>
      <c r="D4" t="s">
        <v>32</v>
      </c>
    </row>
    <row r="6" spans="1:6" ht="18.75" x14ac:dyDescent="0.3">
      <c r="A6" s="4" t="s">
        <v>69</v>
      </c>
      <c r="B6" s="4"/>
      <c r="C6" s="4"/>
      <c r="D6" s="4"/>
      <c r="E6" s="4"/>
      <c r="F6" s="4"/>
    </row>
    <row r="7" spans="1:6" ht="6" customHeight="1" x14ac:dyDescent="0.25"/>
    <row r="8" spans="1:6" x14ac:dyDescent="0.25">
      <c r="A8" t="s">
        <v>70</v>
      </c>
    </row>
    <row r="9" spans="1:6" x14ac:dyDescent="0.25">
      <c r="A9" t="s">
        <v>71</v>
      </c>
      <c r="B9" s="9">
        <v>10</v>
      </c>
      <c r="C9" t="s">
        <v>5</v>
      </c>
    </row>
    <row r="10" spans="1:6" x14ac:dyDescent="0.25">
      <c r="A10" t="s">
        <v>72</v>
      </c>
      <c r="B10" s="9">
        <v>250</v>
      </c>
      <c r="C10" t="s">
        <v>73</v>
      </c>
    </row>
    <row r="11" spans="1:6" x14ac:dyDescent="0.25">
      <c r="A11" t="s">
        <v>74</v>
      </c>
      <c r="B11" s="9">
        <v>290</v>
      </c>
      <c r="C11" t="s">
        <v>73</v>
      </c>
    </row>
    <row r="12" spans="1:6" x14ac:dyDescent="0.25">
      <c r="A12" t="s">
        <v>75</v>
      </c>
      <c r="B12" s="19">
        <f>E12</f>
        <v>40</v>
      </c>
      <c r="D12" s="35">
        <f>ABS(B10-B11)</f>
        <v>40</v>
      </c>
      <c r="E12" s="35">
        <f>IF(D12&gt;180, 360-D12, D12)</f>
        <v>40</v>
      </c>
    </row>
    <row r="13" spans="1:6" x14ac:dyDescent="0.25">
      <c r="A13" t="s">
        <v>76</v>
      </c>
      <c r="B13">
        <f>B9*COS(RADIANS(B12))</f>
        <v>7.6604444311897799</v>
      </c>
    </row>
    <row r="15" spans="1:6" ht="18.75" x14ac:dyDescent="0.3">
      <c r="A15" s="4" t="s">
        <v>77</v>
      </c>
      <c r="B15" s="4"/>
      <c r="C15" s="4"/>
      <c r="D15" s="4"/>
      <c r="E15" s="4"/>
      <c r="F15" s="4"/>
    </row>
    <row r="16" spans="1:6" x14ac:dyDescent="0.25">
      <c r="A16" t="s">
        <v>78</v>
      </c>
    </row>
    <row r="17" spans="1:5" x14ac:dyDescent="0.25">
      <c r="A17" t="s">
        <v>79</v>
      </c>
    </row>
    <row r="18" spans="1:5" x14ac:dyDescent="0.25">
      <c r="A18" t="s">
        <v>4</v>
      </c>
      <c r="B18" s="9">
        <v>120</v>
      </c>
      <c r="C18" t="s">
        <v>32</v>
      </c>
    </row>
    <row r="19" spans="1:5" x14ac:dyDescent="0.25">
      <c r="A19" t="s">
        <v>6</v>
      </c>
      <c r="B19" s="19">
        <f>60/B18</f>
        <v>0.5</v>
      </c>
      <c r="E19" t="s">
        <v>80</v>
      </c>
    </row>
    <row r="20" spans="1:5" x14ac:dyDescent="0.25">
      <c r="A20" t="s">
        <v>71</v>
      </c>
      <c r="B20" s="9">
        <v>40</v>
      </c>
      <c r="C20" t="s">
        <v>32</v>
      </c>
    </row>
    <row r="21" spans="1:5" x14ac:dyDescent="0.25">
      <c r="A21" t="s">
        <v>72</v>
      </c>
      <c r="B21" s="9">
        <v>145</v>
      </c>
      <c r="C21" t="s">
        <v>73</v>
      </c>
    </row>
    <row r="22" spans="1:5" x14ac:dyDescent="0.25">
      <c r="A22" t="s">
        <v>74</v>
      </c>
      <c r="B22" s="9">
        <v>270</v>
      </c>
      <c r="C22" t="s">
        <v>73</v>
      </c>
    </row>
    <row r="23" spans="1:5" x14ac:dyDescent="0.25">
      <c r="A23" t="s">
        <v>75</v>
      </c>
      <c r="B23" s="19">
        <f>B22-B21</f>
        <v>125</v>
      </c>
      <c r="C23" t="s">
        <v>73</v>
      </c>
    </row>
    <row r="24" spans="1:5" x14ac:dyDescent="0.25">
      <c r="A24" t="s">
        <v>81</v>
      </c>
      <c r="B24" s="19">
        <f>B20*B19</f>
        <v>20</v>
      </c>
      <c r="C24" t="s">
        <v>73</v>
      </c>
    </row>
    <row r="25" spans="1:5" x14ac:dyDescent="0.25">
      <c r="A25" t="s">
        <v>82</v>
      </c>
      <c r="B25" s="19">
        <f>B24*SIN(RADIANS(B23))</f>
        <v>16.383040885779835</v>
      </c>
      <c r="C25" t="s">
        <v>73</v>
      </c>
    </row>
  </sheetData>
  <mergeCells count="3">
    <mergeCell ref="A1:F1"/>
    <mergeCell ref="A6:F6"/>
    <mergeCell ref="A15:F15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VEA2026_LFPZ</vt:lpstr>
      <vt:lpstr>Coms</vt:lpstr>
      <vt:lpstr>Performances</vt:lpstr>
      <vt:lpstr>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Flogas</dc:creator>
  <dc:description/>
  <cp:lastModifiedBy>Florent GASSEAU</cp:lastModifiedBy>
  <cp:revision>379</cp:revision>
  <cp:lastPrinted>2019-08-22T08:19:33Z</cp:lastPrinted>
  <dcterms:created xsi:type="dcterms:W3CDTF">2007-12-29T23:52:36Z</dcterms:created>
  <dcterms:modified xsi:type="dcterms:W3CDTF">2026-06-12T12:35:05Z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nfo 1">
    <vt:lpwstr/>
  </property>
  <property fmtid="{D5CDD505-2E9C-101B-9397-08002B2CF9AE}" pid="4" name="Info 2">
    <vt:lpwstr/>
  </property>
  <property fmtid="{D5CDD505-2E9C-101B-9397-08002B2CF9AE}" pid="5" name="Info 3">
    <vt:lpwstr/>
  </property>
  <property fmtid="{D5CDD505-2E9C-101B-9397-08002B2CF9AE}" pid="6" name="Info 4">
    <vt:lpwstr/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