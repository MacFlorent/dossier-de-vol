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asse\Downloads\20260608 - VEA2026_LFPZ-20260612T121550Z-3-001\20260608 - VEA2026_LFPZ\"/>
    </mc:Choice>
  </mc:AlternateContent>
  <xr:revisionPtr revIDLastSave="0" documentId="13_ncr:1_{23308FBF-2CA7-407B-99A2-0C3DB29A4A9A}" xr6:coauthVersionLast="47" xr6:coauthVersionMax="47" xr10:uidLastSave="{00000000-0000-0000-0000-000000000000}"/>
  <bookViews>
    <workbookView xWindow="-28920" yWindow="-120" windowWidth="29040" windowHeight="17520" tabRatio="669" xr2:uid="{00000000-000D-0000-FFFF-FFFF00000000}"/>
  </bookViews>
  <sheets>
    <sheet name="Masse &amp; Centrage" sheetId="31" r:id="rId1"/>
    <sheet name="Perfos Départ" sheetId="37" r:id="rId2"/>
    <sheet name="Perfos Destination" sheetId="43" r:id="rId3"/>
    <sheet name="Perfos Dégagement" sheetId="44" r:id="rId4"/>
    <sheet name="Résumé" sheetId="30" r:id="rId5"/>
    <sheet name="MdV DR221 Perfos" sheetId="39" r:id="rId6"/>
  </sheets>
  <externalReferences>
    <externalReference r:id="rId7"/>
  </externalReferences>
  <definedNames>
    <definedName name="a">#REF!</definedName>
    <definedName name="abc">#REF!</definedName>
    <definedName name="acd">'Masse &amp; Centrage'!$E$59</definedName>
    <definedName name="b">#REF!</definedName>
    <definedName name="bagages" localSheetId="0">'Masse &amp; Centrage'!$E$58</definedName>
    <definedName name="bagages" localSheetId="4">'[1]Masse &amp; Centrage'!$F$71</definedName>
    <definedName name="bagages">#REF!</definedName>
    <definedName name="brasCG" localSheetId="0">'Masse &amp; Centrage'!$D$46</definedName>
    <definedName name="brasCG" localSheetId="4">'[1]Masse &amp; Centrage'!$E$57</definedName>
    <definedName name="brasCG">#REF!</definedName>
    <definedName name="central" localSheetId="0">'Masse &amp; Centrage'!$E$59</definedName>
    <definedName name="central" localSheetId="4">'[1]Masse &amp; Centrage'!$F$72</definedName>
    <definedName name="central">#REF!</definedName>
    <definedName name="conso75" localSheetId="0">'Masse &amp; Centrage'!$D$64</definedName>
    <definedName name="conso75" localSheetId="4">'[1]Masse &amp; Centrage'!$E$76</definedName>
    <definedName name="conso75">#REF!</definedName>
    <definedName name="daqz">#REF!</definedName>
    <definedName name="erty">'Masse &amp; Centrage'!$E$55</definedName>
    <definedName name="immat" localSheetId="0">'Masse &amp; Centrage'!$D$44</definedName>
    <definedName name="immat" localSheetId="4">'[1]Masse &amp; Centrage'!$E$55</definedName>
    <definedName name="immat">#REF!</definedName>
    <definedName name="inutiles" localSheetId="0">'Masse &amp; Centrage'!$D$61</definedName>
    <definedName name="inutiles" localSheetId="4">'[1]Masse &amp; Centrage'!$E$73</definedName>
    <definedName name="inutiles">#REF!</definedName>
    <definedName name="massevide" localSheetId="0">'Masse &amp; Centrage'!$E$46</definedName>
    <definedName name="massevide" localSheetId="4">'[1]Masse &amp; Centrage'!$F$57</definedName>
    <definedName name="massevide">#REF!</definedName>
    <definedName name="nouveau">#REF!</definedName>
    <definedName name="perfo1terrain" localSheetId="0">#REF!</definedName>
    <definedName name="perfo1terrain" localSheetId="4">#REF!</definedName>
    <definedName name="perfo1terrain">#REF!</definedName>
    <definedName name="Perfost">#REF!</definedName>
    <definedName name="poidsmax" localSheetId="0">'Masse &amp; Centrage'!$E$55</definedName>
    <definedName name="poidsmax" localSheetId="4">'[1]Masse &amp; Centrage'!$F$68</definedName>
    <definedName name="poidsmax">#REF!</definedName>
    <definedName name="_xlnm.Print_Area" localSheetId="4">Résumé!$A$1:$O$23</definedName>
    <definedName name="Résume2">#REF!</definedName>
    <definedName name="temp12" localSheetId="0">#REF!</definedName>
    <definedName name="temp12" localSheetId="5">'MdV DR221 Perfos'!#REF!</definedName>
    <definedName name="temp12" localSheetId="3">'Perfos Dégagement'!#REF!</definedName>
    <definedName name="temp12" localSheetId="1">'Perfos Départ'!#REF!</definedName>
    <definedName name="temp12" localSheetId="2">'Perfos Destination'!#REF!</definedName>
    <definedName name="temp12" localSheetId="4">Résumé!#REF!</definedName>
    <definedName name="temp12">#REF!</definedName>
    <definedName name="temp13">#REF!</definedName>
    <definedName name="temp14" localSheetId="0">#REF!</definedName>
    <definedName name="temp14" localSheetId="5">#REF!</definedName>
    <definedName name="temp14" localSheetId="4">#REF!</definedName>
    <definedName name="temp14">#REF!</definedName>
    <definedName name="temp15" localSheetId="0">#REF!</definedName>
    <definedName name="temp15" localSheetId="4">#REF!</definedName>
    <definedName name="temp15">#REF!</definedName>
    <definedName name="type" localSheetId="0">'Masse &amp; Centrage'!$D$43</definedName>
    <definedName name="type" localSheetId="4">'[1]Masse &amp; Centrage'!$E$54</definedName>
    <definedName name="type">#REF!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7" l="1"/>
  <c r="G9" i="43"/>
  <c r="G9" i="44"/>
  <c r="F42" i="43"/>
  <c r="G14" i="30"/>
  <c r="G12" i="30"/>
  <c r="G9" i="30"/>
  <c r="E9" i="30"/>
  <c r="G8" i="30"/>
  <c r="E14" i="30"/>
  <c r="E12" i="30"/>
  <c r="E8" i="30"/>
  <c r="G7" i="30"/>
  <c r="E7" i="30"/>
  <c r="C7" i="30"/>
  <c r="C14" i="30"/>
  <c r="C12" i="30"/>
  <c r="F40" i="44"/>
  <c r="C9" i="30"/>
  <c r="C8" i="30"/>
  <c r="F135" i="44"/>
  <c r="L131" i="44"/>
  <c r="H131" i="44"/>
  <c r="F131" i="44"/>
  <c r="E121" i="44"/>
  <c r="E120" i="44"/>
  <c r="E119" i="44"/>
  <c r="E118" i="44"/>
  <c r="E113" i="44"/>
  <c r="E112" i="44"/>
  <c r="E111" i="44"/>
  <c r="E110" i="44"/>
  <c r="I95" i="44"/>
  <c r="G95" i="44"/>
  <c r="I94" i="44"/>
  <c r="G94" i="44"/>
  <c r="C94" i="44"/>
  <c r="I93" i="44"/>
  <c r="G93" i="44"/>
  <c r="I92" i="44"/>
  <c r="G92" i="44"/>
  <c r="I91" i="44"/>
  <c r="G91" i="44"/>
  <c r="I90" i="44"/>
  <c r="G90" i="44"/>
  <c r="C90" i="44"/>
  <c r="I89" i="44"/>
  <c r="G89" i="44"/>
  <c r="I88" i="44"/>
  <c r="G88" i="44"/>
  <c r="I87" i="44"/>
  <c r="G87" i="44"/>
  <c r="I86" i="44"/>
  <c r="G86" i="44"/>
  <c r="C86" i="44"/>
  <c r="I85" i="44"/>
  <c r="G85" i="44"/>
  <c r="I84" i="44"/>
  <c r="G84" i="44"/>
  <c r="I83" i="44"/>
  <c r="G83" i="44"/>
  <c r="I82" i="44"/>
  <c r="G82" i="44"/>
  <c r="C82" i="44"/>
  <c r="I81" i="44"/>
  <c r="G81" i="44"/>
  <c r="I80" i="44"/>
  <c r="G80" i="44"/>
  <c r="F55" i="44"/>
  <c r="F57" i="44" s="1"/>
  <c r="F51" i="44"/>
  <c r="F53" i="44" s="1"/>
  <c r="F42" i="44"/>
  <c r="H6" i="44"/>
  <c r="I6" i="44" s="1"/>
  <c r="B1" i="44"/>
  <c r="F133" i="43"/>
  <c r="F135" i="43" s="1"/>
  <c r="L131" i="43"/>
  <c r="J131" i="43" s="1"/>
  <c r="H131" i="43"/>
  <c r="E121" i="43"/>
  <c r="E120" i="43"/>
  <c r="E119" i="43"/>
  <c r="E118" i="43"/>
  <c r="E113" i="43"/>
  <c r="E112" i="43"/>
  <c r="E111" i="43"/>
  <c r="E110" i="43"/>
  <c r="I95" i="43"/>
  <c r="G95" i="43"/>
  <c r="I94" i="43"/>
  <c r="G94" i="43"/>
  <c r="C94" i="43"/>
  <c r="I93" i="43"/>
  <c r="G93" i="43"/>
  <c r="I92" i="43"/>
  <c r="G92" i="43"/>
  <c r="I91" i="43"/>
  <c r="G91" i="43"/>
  <c r="I90" i="43"/>
  <c r="G90" i="43"/>
  <c r="C90" i="43"/>
  <c r="I89" i="43"/>
  <c r="G89" i="43"/>
  <c r="I88" i="43"/>
  <c r="G88" i="43"/>
  <c r="I87" i="43"/>
  <c r="G87" i="43"/>
  <c r="I86" i="43"/>
  <c r="G86" i="43"/>
  <c r="C86" i="43"/>
  <c r="I85" i="43"/>
  <c r="G85" i="43"/>
  <c r="I84" i="43"/>
  <c r="G84" i="43"/>
  <c r="I83" i="43"/>
  <c r="G83" i="43"/>
  <c r="I82" i="43"/>
  <c r="G82" i="43"/>
  <c r="C82" i="43"/>
  <c r="I81" i="43"/>
  <c r="G81" i="43"/>
  <c r="I80" i="43"/>
  <c r="G80" i="43"/>
  <c r="F55" i="43"/>
  <c r="F57" i="43" s="1"/>
  <c r="F51" i="43"/>
  <c r="F53" i="43" s="1"/>
  <c r="F40" i="43"/>
  <c r="H6" i="43"/>
  <c r="I6" i="43" s="1"/>
  <c r="B1" i="43"/>
  <c r="F51" i="37"/>
  <c r="F53" i="37" s="1"/>
  <c r="F42" i="37"/>
  <c r="F133" i="37"/>
  <c r="F135" i="37" s="1"/>
  <c r="F55" i="37"/>
  <c r="F57" i="37" s="1"/>
  <c r="F40" i="37"/>
  <c r="D20" i="39"/>
  <c r="D19" i="39"/>
  <c r="D18" i="39"/>
  <c r="D17" i="39"/>
  <c r="D12" i="39"/>
  <c r="D11" i="39"/>
  <c r="D10" i="39"/>
  <c r="D9" i="39"/>
  <c r="B1" i="37"/>
  <c r="L131" i="37"/>
  <c r="J131" i="37" s="1"/>
  <c r="H131" i="37"/>
  <c r="E121" i="37"/>
  <c r="E120" i="37"/>
  <c r="E119" i="37"/>
  <c r="E118" i="37"/>
  <c r="E113" i="37"/>
  <c r="E112" i="37"/>
  <c r="E111" i="37"/>
  <c r="E110" i="37"/>
  <c r="I95" i="37"/>
  <c r="G95" i="37"/>
  <c r="I94" i="37"/>
  <c r="G94" i="37"/>
  <c r="C94" i="37"/>
  <c r="I93" i="37"/>
  <c r="G93" i="37"/>
  <c r="I92" i="37"/>
  <c r="G92" i="37"/>
  <c r="I91" i="37"/>
  <c r="G91" i="37"/>
  <c r="I90" i="37"/>
  <c r="G90" i="37"/>
  <c r="C90" i="37"/>
  <c r="I89" i="37"/>
  <c r="G89" i="37"/>
  <c r="I88" i="37"/>
  <c r="G88" i="37"/>
  <c r="I87" i="37"/>
  <c r="G87" i="37"/>
  <c r="I86" i="37"/>
  <c r="G86" i="37"/>
  <c r="C86" i="37"/>
  <c r="I85" i="37"/>
  <c r="G85" i="37"/>
  <c r="I84" i="37"/>
  <c r="G84" i="37"/>
  <c r="I83" i="37"/>
  <c r="G83" i="37"/>
  <c r="I82" i="37"/>
  <c r="G82" i="37"/>
  <c r="C82" i="37"/>
  <c r="I81" i="37"/>
  <c r="G81" i="37"/>
  <c r="I80" i="37"/>
  <c r="G80" i="37"/>
  <c r="K7" i="30"/>
  <c r="K5" i="30"/>
  <c r="N4" i="30"/>
  <c r="G13" i="30" l="1"/>
  <c r="E13" i="30"/>
  <c r="C13" i="30"/>
  <c r="J131" i="44"/>
  <c r="F131" i="43"/>
  <c r="F131" i="37"/>
  <c r="N42" i="37"/>
  <c r="C10" i="30" s="1"/>
  <c r="K95" i="44"/>
  <c r="L95" i="44" s="1"/>
  <c r="H95" i="44"/>
  <c r="M92" i="44"/>
  <c r="N92" i="44" s="1"/>
  <c r="J92" i="44"/>
  <c r="N42" i="44"/>
  <c r="G10" i="30" s="1"/>
  <c r="I41" i="44"/>
  <c r="J41" i="44" s="1"/>
  <c r="N42" i="43"/>
  <c r="E10" i="30" s="1"/>
  <c r="J95" i="44"/>
  <c r="M95" i="44"/>
  <c r="N95" i="44" s="1"/>
  <c r="J94" i="44"/>
  <c r="M94" i="44"/>
  <c r="N94" i="44" s="1"/>
  <c r="H94" i="44"/>
  <c r="K94" i="44"/>
  <c r="L94" i="44" s="1"/>
  <c r="J93" i="44"/>
  <c r="M93" i="44"/>
  <c r="N93" i="44" s="1"/>
  <c r="K93" i="44"/>
  <c r="L93" i="44" s="1"/>
  <c r="H93" i="44"/>
  <c r="H92" i="44"/>
  <c r="K92" i="44"/>
  <c r="L92" i="44" s="1"/>
  <c r="M91" i="44"/>
  <c r="N91" i="44" s="1"/>
  <c r="J91" i="44"/>
  <c r="H91" i="44"/>
  <c r="K91" i="44"/>
  <c r="L91" i="44" s="1"/>
  <c r="J90" i="44"/>
  <c r="M90" i="44"/>
  <c r="N90" i="44" s="1"/>
  <c r="H90" i="44"/>
  <c r="K90" i="44"/>
  <c r="L90" i="44" s="1"/>
  <c r="M89" i="44"/>
  <c r="N89" i="44" s="1"/>
  <c r="J89" i="44"/>
  <c r="H89" i="44"/>
  <c r="K89" i="44"/>
  <c r="L89" i="44" s="1"/>
  <c r="J88" i="44"/>
  <c r="M88" i="44"/>
  <c r="N88" i="44" s="1"/>
  <c r="H88" i="44"/>
  <c r="K88" i="44"/>
  <c r="L88" i="44" s="1"/>
  <c r="J87" i="44"/>
  <c r="M87" i="44"/>
  <c r="N87" i="44" s="1"/>
  <c r="H87" i="44"/>
  <c r="K87" i="44"/>
  <c r="L87" i="44" s="1"/>
  <c r="J86" i="44"/>
  <c r="M86" i="44"/>
  <c r="N86" i="44" s="1"/>
  <c r="K86" i="44"/>
  <c r="L86" i="44" s="1"/>
  <c r="H86" i="44"/>
  <c r="M85" i="44"/>
  <c r="N85" i="44" s="1"/>
  <c r="J85" i="44"/>
  <c r="K85" i="44"/>
  <c r="L85" i="44" s="1"/>
  <c r="H85" i="44"/>
  <c r="J84" i="44"/>
  <c r="M84" i="44"/>
  <c r="N84" i="44" s="1"/>
  <c r="H84" i="44"/>
  <c r="K84" i="44"/>
  <c r="L84" i="44" s="1"/>
  <c r="J83" i="44"/>
  <c r="M83" i="44"/>
  <c r="N83" i="44" s="1"/>
  <c r="H83" i="44"/>
  <c r="K83" i="44"/>
  <c r="L83" i="44" s="1"/>
  <c r="J82" i="44"/>
  <c r="M82" i="44"/>
  <c r="N82" i="44" s="1"/>
  <c r="K82" i="44"/>
  <c r="L82" i="44" s="1"/>
  <c r="H82" i="44"/>
  <c r="M81" i="44"/>
  <c r="N81" i="44" s="1"/>
  <c r="J81" i="44"/>
  <c r="K81" i="44"/>
  <c r="L81" i="44" s="1"/>
  <c r="H81" i="44"/>
  <c r="J80" i="44"/>
  <c r="M80" i="44"/>
  <c r="N80" i="44" s="1"/>
  <c r="H80" i="44"/>
  <c r="K80" i="44"/>
  <c r="L80" i="44" s="1"/>
  <c r="J6" i="44"/>
  <c r="L6" i="44"/>
  <c r="H7" i="44"/>
  <c r="I41" i="43"/>
  <c r="J41" i="43" s="1"/>
  <c r="M95" i="43"/>
  <c r="N95" i="43" s="1"/>
  <c r="J95" i="43"/>
  <c r="H95" i="43"/>
  <c r="K95" i="43"/>
  <c r="L95" i="43" s="1"/>
  <c r="M94" i="43"/>
  <c r="N94" i="43" s="1"/>
  <c r="J94" i="43"/>
  <c r="K94" i="43"/>
  <c r="L94" i="43" s="1"/>
  <c r="H94" i="43"/>
  <c r="M93" i="43"/>
  <c r="N93" i="43" s="1"/>
  <c r="J93" i="43"/>
  <c r="K93" i="43"/>
  <c r="L93" i="43" s="1"/>
  <c r="H93" i="43"/>
  <c r="J92" i="43"/>
  <c r="M92" i="43"/>
  <c r="N92" i="43" s="1"/>
  <c r="H92" i="43"/>
  <c r="K92" i="43"/>
  <c r="L92" i="43" s="1"/>
  <c r="M91" i="43"/>
  <c r="N91" i="43" s="1"/>
  <c r="J91" i="43"/>
  <c r="K91" i="43"/>
  <c r="L91" i="43" s="1"/>
  <c r="H91" i="43"/>
  <c r="M90" i="43"/>
  <c r="N90" i="43" s="1"/>
  <c r="J90" i="43"/>
  <c r="K90" i="43"/>
  <c r="L90" i="43" s="1"/>
  <c r="H90" i="43"/>
  <c r="M89" i="43"/>
  <c r="N89" i="43" s="1"/>
  <c r="J89" i="43"/>
  <c r="K89" i="43"/>
  <c r="L89" i="43" s="1"/>
  <c r="H89" i="43"/>
  <c r="M88" i="43"/>
  <c r="N88" i="43" s="1"/>
  <c r="J88" i="43"/>
  <c r="K88" i="43"/>
  <c r="L88" i="43" s="1"/>
  <c r="H88" i="43"/>
  <c r="M87" i="43"/>
  <c r="N87" i="43" s="1"/>
  <c r="J87" i="43"/>
  <c r="H87" i="43"/>
  <c r="K87" i="43"/>
  <c r="L87" i="43" s="1"/>
  <c r="M86" i="43"/>
  <c r="N86" i="43" s="1"/>
  <c r="J86" i="43"/>
  <c r="K86" i="43"/>
  <c r="L86" i="43" s="1"/>
  <c r="H86" i="43"/>
  <c r="M85" i="43"/>
  <c r="N85" i="43" s="1"/>
  <c r="J85" i="43"/>
  <c r="K85" i="43"/>
  <c r="L85" i="43" s="1"/>
  <c r="H85" i="43"/>
  <c r="M84" i="43"/>
  <c r="N84" i="43" s="1"/>
  <c r="J84" i="43"/>
  <c r="K84" i="43"/>
  <c r="L84" i="43" s="1"/>
  <c r="H84" i="43"/>
  <c r="M83" i="43"/>
  <c r="N83" i="43" s="1"/>
  <c r="J83" i="43"/>
  <c r="K83" i="43"/>
  <c r="L83" i="43" s="1"/>
  <c r="H83" i="43"/>
  <c r="J82" i="43"/>
  <c r="M82" i="43"/>
  <c r="N82" i="43" s="1"/>
  <c r="K82" i="43"/>
  <c r="L82" i="43" s="1"/>
  <c r="H82" i="43"/>
  <c r="M81" i="43"/>
  <c r="N81" i="43" s="1"/>
  <c r="J81" i="43"/>
  <c r="K81" i="43"/>
  <c r="L81" i="43" s="1"/>
  <c r="H81" i="43"/>
  <c r="M80" i="43"/>
  <c r="N80" i="43" s="1"/>
  <c r="J80" i="43"/>
  <c r="K80" i="43"/>
  <c r="L80" i="43" s="1"/>
  <c r="H80" i="43"/>
  <c r="J6" i="43"/>
  <c r="L6" i="43"/>
  <c r="H7" i="43"/>
  <c r="M95" i="37"/>
  <c r="N95" i="37" s="1"/>
  <c r="J95" i="37"/>
  <c r="K95" i="37"/>
  <c r="L95" i="37" s="1"/>
  <c r="H95" i="37"/>
  <c r="M94" i="37"/>
  <c r="N94" i="37" s="1"/>
  <c r="J94" i="37"/>
  <c r="K94" i="37"/>
  <c r="L94" i="37" s="1"/>
  <c r="H94" i="37"/>
  <c r="M93" i="37"/>
  <c r="N93" i="37" s="1"/>
  <c r="J93" i="37"/>
  <c r="K93" i="37"/>
  <c r="L93" i="37" s="1"/>
  <c r="H93" i="37"/>
  <c r="M92" i="37"/>
  <c r="N92" i="37" s="1"/>
  <c r="J92" i="37"/>
  <c r="K92" i="37"/>
  <c r="L92" i="37" s="1"/>
  <c r="H92" i="37"/>
  <c r="M91" i="37"/>
  <c r="N91" i="37" s="1"/>
  <c r="J91" i="37"/>
  <c r="K91" i="37"/>
  <c r="L91" i="37" s="1"/>
  <c r="H91" i="37"/>
  <c r="M90" i="37"/>
  <c r="N90" i="37" s="1"/>
  <c r="J90" i="37"/>
  <c r="K90" i="37"/>
  <c r="L90" i="37" s="1"/>
  <c r="H90" i="37"/>
  <c r="M89" i="37"/>
  <c r="N89" i="37" s="1"/>
  <c r="J89" i="37"/>
  <c r="K89" i="37"/>
  <c r="L89" i="37" s="1"/>
  <c r="H89" i="37"/>
  <c r="J88" i="37"/>
  <c r="M88" i="37"/>
  <c r="N88" i="37" s="1"/>
  <c r="H88" i="37"/>
  <c r="K88" i="37"/>
  <c r="L88" i="37" s="1"/>
  <c r="M87" i="37"/>
  <c r="N87" i="37" s="1"/>
  <c r="J87" i="37"/>
  <c r="K87" i="37"/>
  <c r="L87" i="37" s="1"/>
  <c r="H87" i="37"/>
  <c r="M86" i="37"/>
  <c r="N86" i="37" s="1"/>
  <c r="J86" i="37"/>
  <c r="K86" i="37"/>
  <c r="L86" i="37" s="1"/>
  <c r="H86" i="37"/>
  <c r="M85" i="37"/>
  <c r="N85" i="37" s="1"/>
  <c r="J85" i="37"/>
  <c r="K85" i="37"/>
  <c r="L85" i="37" s="1"/>
  <c r="H85" i="37"/>
  <c r="M84" i="37"/>
  <c r="N84" i="37" s="1"/>
  <c r="J84" i="37"/>
  <c r="K84" i="37"/>
  <c r="L84" i="37" s="1"/>
  <c r="H84" i="37"/>
  <c r="M83" i="37"/>
  <c r="N83" i="37" s="1"/>
  <c r="J83" i="37"/>
  <c r="K83" i="37"/>
  <c r="L83" i="37" s="1"/>
  <c r="H83" i="37"/>
  <c r="M82" i="37"/>
  <c r="N82" i="37" s="1"/>
  <c r="J82" i="37"/>
  <c r="K82" i="37"/>
  <c r="L82" i="37" s="1"/>
  <c r="H82" i="37"/>
  <c r="M81" i="37"/>
  <c r="N81" i="37" s="1"/>
  <c r="J81" i="37"/>
  <c r="K81" i="37"/>
  <c r="L81" i="37" s="1"/>
  <c r="H81" i="37"/>
  <c r="M80" i="37"/>
  <c r="N80" i="37" s="1"/>
  <c r="J80" i="37"/>
  <c r="K80" i="37"/>
  <c r="L80" i="37" s="1"/>
  <c r="H80" i="37"/>
  <c r="C12" i="31"/>
  <c r="B9" i="31"/>
  <c r="E9" i="31"/>
  <c r="F9" i="31"/>
  <c r="E8" i="31"/>
  <c r="E7" i="31"/>
  <c r="E6" i="31"/>
  <c r="E5" i="31"/>
  <c r="K41" i="44" l="1"/>
  <c r="M41" i="44"/>
  <c r="I42" i="44"/>
  <c r="L8" i="44" s="1"/>
  <c r="G11" i="30" s="1" a="1"/>
  <c r="G11" i="30" s="1"/>
  <c r="K41" i="43"/>
  <c r="M41" i="43"/>
  <c r="I42" i="43"/>
  <c r="L8" i="43" s="1"/>
  <c r="E11" i="30" s="1" a="1"/>
  <c r="E11" i="30" s="1"/>
  <c r="D14" i="31"/>
  <c r="N7" i="30" s="1"/>
  <c r="D10" i="31"/>
  <c r="N5" i="30" s="1"/>
  <c r="C2" i="30"/>
  <c r="B1" i="30"/>
  <c r="L4" i="30"/>
  <c r="N3" i="30"/>
  <c r="L3" i="30"/>
  <c r="E51" i="31"/>
  <c r="C11" i="31"/>
  <c r="L5" i="30" s="1"/>
  <c r="E10" i="31"/>
  <c r="B10" i="31"/>
  <c r="F8" i="31"/>
  <c r="F7" i="31"/>
  <c r="F6" i="31"/>
  <c r="D5" i="31"/>
  <c r="N2" i="30" s="1"/>
  <c r="F2" i="31"/>
  <c r="B2" i="31"/>
  <c r="B1" i="31"/>
  <c r="E11" i="31" l="1"/>
  <c r="D15" i="31"/>
  <c r="F5" i="31"/>
  <c r="D13" i="31"/>
  <c r="E13" i="37" s="1"/>
  <c r="H13" i="37" s="1"/>
  <c r="C15" i="31"/>
  <c r="L7" i="30" s="1"/>
  <c r="E14" i="31"/>
  <c r="F10" i="31"/>
  <c r="F144" i="37" l="1"/>
  <c r="F61" i="37"/>
  <c r="C15" i="30"/>
  <c r="F13" i="31"/>
  <c r="E52" i="31"/>
  <c r="N6" i="30"/>
  <c r="D16" i="31"/>
  <c r="E13" i="44" s="1"/>
  <c r="H13" i="44" s="1"/>
  <c r="E54" i="31"/>
  <c r="F14" i="31"/>
  <c r="K149" i="37" l="1"/>
  <c r="I144" i="37"/>
  <c r="K146" i="37"/>
  <c r="K135" i="37"/>
  <c r="K57" i="37"/>
  <c r="I61" i="37"/>
  <c r="K63" i="37"/>
  <c r="F65" i="37"/>
  <c r="E13" i="43"/>
  <c r="H13" i="43" s="1"/>
  <c r="D54" i="31"/>
  <c r="D52" i="31"/>
  <c r="F16" i="31"/>
  <c r="E16" i="31" s="1"/>
  <c r="E13" i="31"/>
  <c r="E53" i="31"/>
  <c r="N8" i="30"/>
  <c r="I149" i="37" l="1"/>
  <c r="K138" i="37"/>
  <c r="F144" i="44"/>
  <c r="F61" i="44"/>
  <c r="G15" i="30"/>
  <c r="F61" i="43"/>
  <c r="E15" i="30"/>
  <c r="F144" i="43"/>
  <c r="D53" i="31"/>
  <c r="L154" i="37" l="1"/>
  <c r="G29" i="37" s="1"/>
  <c r="L152" i="37"/>
  <c r="I138" i="37"/>
  <c r="L153" i="37"/>
  <c r="G28" i="37" s="1"/>
  <c r="I144" i="44"/>
  <c r="K149" i="44"/>
  <c r="K146" i="44"/>
  <c r="K135" i="44"/>
  <c r="C47" i="44"/>
  <c r="I61" i="44"/>
  <c r="K63" i="44"/>
  <c r="F65" i="44"/>
  <c r="K57" i="44"/>
  <c r="C47" i="43"/>
  <c r="F65" i="43"/>
  <c r="K63" i="43"/>
  <c r="I61" i="43"/>
  <c r="K57" i="43"/>
  <c r="K146" i="43"/>
  <c r="I144" i="43"/>
  <c r="K149" i="43"/>
  <c r="K135" i="43"/>
  <c r="I41" i="37"/>
  <c r="J41" i="37" s="1"/>
  <c r="H6" i="37"/>
  <c r="I6" i="37" s="1"/>
  <c r="H7" i="37" s="1"/>
  <c r="D19" i="30" l="1"/>
  <c r="D21" i="30"/>
  <c r="D18" i="30"/>
  <c r="D20" i="30"/>
  <c r="I149" i="44"/>
  <c r="K138" i="44"/>
  <c r="M46" i="44"/>
  <c r="N46" i="44" s="1"/>
  <c r="G46" i="44"/>
  <c r="H46" i="44" s="1"/>
  <c r="K49" i="44"/>
  <c r="L49" i="44" s="1"/>
  <c r="K48" i="44"/>
  <c r="L48" i="44" s="1"/>
  <c r="G48" i="44"/>
  <c r="H48" i="44" s="1"/>
  <c r="M48" i="44"/>
  <c r="N48" i="44" s="1"/>
  <c r="K46" i="44"/>
  <c r="L46" i="44" s="1"/>
  <c r="K47" i="44"/>
  <c r="I46" i="44"/>
  <c r="J46" i="44" s="1"/>
  <c r="M49" i="44"/>
  <c r="N49" i="44" s="1"/>
  <c r="I49" i="44"/>
  <c r="J49" i="44" s="1"/>
  <c r="I48" i="44"/>
  <c r="J48" i="44" s="1"/>
  <c r="M47" i="44"/>
  <c r="I47" i="44"/>
  <c r="G47" i="44"/>
  <c r="G49" i="44"/>
  <c r="H49" i="44" s="1"/>
  <c r="M47" i="43"/>
  <c r="N47" i="43" s="1"/>
  <c r="I49" i="43"/>
  <c r="J49" i="43" s="1"/>
  <c r="I47" i="43"/>
  <c r="J47" i="43" s="1"/>
  <c r="G47" i="43"/>
  <c r="H47" i="43" s="1"/>
  <c r="K47" i="43"/>
  <c r="L47" i="43" s="1"/>
  <c r="K48" i="43"/>
  <c r="L48" i="43" s="1"/>
  <c r="G48" i="43"/>
  <c r="H48" i="43" s="1"/>
  <c r="I48" i="43"/>
  <c r="J48" i="43" s="1"/>
  <c r="K49" i="43"/>
  <c r="L49" i="43" s="1"/>
  <c r="M48" i="43"/>
  <c r="N48" i="43" s="1"/>
  <c r="G49" i="43"/>
  <c r="H49" i="43" s="1"/>
  <c r="I46" i="43"/>
  <c r="M46" i="43"/>
  <c r="K46" i="43"/>
  <c r="G46" i="43"/>
  <c r="M49" i="43"/>
  <c r="N49" i="43" s="1"/>
  <c r="I149" i="43"/>
  <c r="K138" i="43"/>
  <c r="C47" i="37"/>
  <c r="K41" i="37"/>
  <c r="M41" i="37"/>
  <c r="I42" i="37"/>
  <c r="L8" i="37" s="1"/>
  <c r="C11" i="30" s="1" a="1"/>
  <c r="C11" i="30" s="1"/>
  <c r="L6" i="37"/>
  <c r="J6" i="37"/>
  <c r="L154" i="44" l="1"/>
  <c r="G20" i="44" s="1"/>
  <c r="L153" i="44"/>
  <c r="G19" i="44" s="1"/>
  <c r="L152" i="44"/>
  <c r="I138" i="44"/>
  <c r="L47" i="44"/>
  <c r="K53" i="44"/>
  <c r="M53" i="44"/>
  <c r="N47" i="44"/>
  <c r="I53" i="44"/>
  <c r="J53" i="44" s="1"/>
  <c r="J47" i="44"/>
  <c r="G53" i="44"/>
  <c r="H53" i="44" s="1"/>
  <c r="H47" i="44"/>
  <c r="I53" i="43"/>
  <c r="J53" i="43" s="1"/>
  <c r="J46" i="43"/>
  <c r="M53" i="43"/>
  <c r="N46" i="43"/>
  <c r="K53" i="43"/>
  <c r="L46" i="43"/>
  <c r="G53" i="43"/>
  <c r="H53" i="43" s="1"/>
  <c r="H46" i="43"/>
  <c r="L154" i="43"/>
  <c r="G20" i="43" s="1"/>
  <c r="I138" i="43"/>
  <c r="L153" i="43"/>
  <c r="G19" i="43" s="1"/>
  <c r="L152" i="43"/>
  <c r="M48" i="37"/>
  <c r="K47" i="37"/>
  <c r="G49" i="37"/>
  <c r="H49" i="37" s="1"/>
  <c r="I49" i="37"/>
  <c r="J49" i="37" s="1"/>
  <c r="M49" i="37"/>
  <c r="N49" i="37" s="1"/>
  <c r="G47" i="37"/>
  <c r="G48" i="37"/>
  <c r="K49" i="37"/>
  <c r="L49" i="37" s="1"/>
  <c r="G46" i="37"/>
  <c r="H46" i="37" s="1"/>
  <c r="I48" i="37"/>
  <c r="I46" i="37"/>
  <c r="J46" i="37" s="1"/>
  <c r="K46" i="37"/>
  <c r="L46" i="37" s="1"/>
  <c r="I47" i="37"/>
  <c r="M46" i="37"/>
  <c r="N46" i="37" s="1"/>
  <c r="K48" i="37"/>
  <c r="M47" i="37"/>
  <c r="G19" i="30" l="1"/>
  <c r="G21" i="30"/>
  <c r="G18" i="30"/>
  <c r="G20" i="30"/>
  <c r="I65" i="44"/>
  <c r="I59" i="44" s="1"/>
  <c r="L68" i="44" s="1"/>
  <c r="L69" i="44" s="1"/>
  <c r="G26" i="44" s="1"/>
  <c r="H18" i="30" s="1"/>
  <c r="L53" i="44"/>
  <c r="J65" i="44" s="1"/>
  <c r="J59" i="44" s="1"/>
  <c r="N53" i="44"/>
  <c r="L65" i="44" s="1"/>
  <c r="L59" i="44" s="1"/>
  <c r="K65" i="44"/>
  <c r="K59" i="44" s="1"/>
  <c r="K65" i="43"/>
  <c r="K59" i="43" s="1"/>
  <c r="N53" i="43"/>
  <c r="L65" i="43" s="1"/>
  <c r="L59" i="43" s="1"/>
  <c r="I65" i="43"/>
  <c r="I59" i="43" s="1"/>
  <c r="L68" i="43" s="1"/>
  <c r="L69" i="43" s="1"/>
  <c r="G26" i="43" s="1"/>
  <c r="F18" i="30" s="1"/>
  <c r="L53" i="43"/>
  <c r="J65" i="43" s="1"/>
  <c r="J59" i="43" s="1"/>
  <c r="E19" i="30"/>
  <c r="E21" i="30"/>
  <c r="E18" i="30"/>
  <c r="E20" i="30"/>
  <c r="N48" i="37"/>
  <c r="M53" i="37"/>
  <c r="H48" i="37"/>
  <c r="G53" i="37"/>
  <c r="H53" i="37" s="1"/>
  <c r="J48" i="37"/>
  <c r="I53" i="37"/>
  <c r="J53" i="37" s="1"/>
  <c r="L48" i="37"/>
  <c r="K53" i="37"/>
  <c r="L47" i="37"/>
  <c r="H47" i="37"/>
  <c r="J47" i="37"/>
  <c r="N47" i="37"/>
  <c r="L71" i="44" l="1"/>
  <c r="L72" i="44"/>
  <c r="G29" i="44" s="1"/>
  <c r="H20" i="30" s="1"/>
  <c r="L71" i="43"/>
  <c r="L72" i="43"/>
  <c r="G29" i="43" s="1"/>
  <c r="F20" i="30" s="1"/>
  <c r="I65" i="37"/>
  <c r="I59" i="37" s="1"/>
  <c r="L68" i="37" s="1"/>
  <c r="L69" i="37" s="1"/>
  <c r="G19" i="37" s="1"/>
  <c r="C18" i="30" s="1"/>
  <c r="K65" i="37"/>
  <c r="K59" i="37" s="1"/>
  <c r="L53" i="37"/>
  <c r="J65" i="37" s="1"/>
  <c r="J59" i="37" s="1"/>
  <c r="N53" i="37"/>
  <c r="L65" i="37" s="1"/>
  <c r="L59" i="37" s="1"/>
  <c r="L72" i="37" l="1"/>
  <c r="G22" i="37" s="1"/>
  <c r="C20" i="30" s="1"/>
  <c r="L71" i="3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<sst xmlns="http://schemas.openxmlformats.org/spreadsheetml/2006/main" count="687" uniqueCount="170">
  <si>
    <t>Température</t>
  </si>
  <si>
    <t>ft</t>
  </si>
  <si>
    <t>hPa</t>
  </si>
  <si>
    <t>kt</t>
  </si>
  <si>
    <t>kg</t>
  </si>
  <si>
    <t>QNH local</t>
  </si>
  <si>
    <t>}</t>
  </si>
  <si>
    <t>° C</t>
  </si>
  <si>
    <t>Piste en dur</t>
  </si>
  <si>
    <t>Performances de DECOLLAGE</t>
  </si>
  <si>
    <t>°C</t>
  </si>
  <si>
    <t>Altitude terrain</t>
  </si>
  <si>
    <t xml:space="preserve">Date de pesée : </t>
  </si>
  <si>
    <t>Attention, seuls les documents d'origine font foi</t>
  </si>
  <si>
    <t>Litres</t>
  </si>
  <si>
    <t>Masse (kg)</t>
  </si>
  <si>
    <t>Bras de 
levier (mm)</t>
  </si>
  <si>
    <t>Moment (mm.kg)</t>
  </si>
  <si>
    <t>CdB</t>
  </si>
  <si>
    <t>Copilote</t>
  </si>
  <si>
    <t>Total départ</t>
  </si>
  <si>
    <t>Délestage essence</t>
  </si>
  <si>
    <t>Total arrivée</t>
  </si>
  <si>
    <t>Zone de travail ; ne pas toucher</t>
  </si>
  <si>
    <t>Bras de levier</t>
  </si>
  <si>
    <t xml:space="preserve">Masse </t>
  </si>
  <si>
    <t>Avion type</t>
  </si>
  <si>
    <t>Avion immat</t>
  </si>
  <si>
    <t>date pesée</t>
  </si>
  <si>
    <t>Masse à vide (CG)</t>
  </si>
  <si>
    <t>Graphe AV bas</t>
  </si>
  <si>
    <t>Graphe AV haut</t>
  </si>
  <si>
    <t>Graphe AR haut</t>
  </si>
  <si>
    <t>Graphe AR bas</t>
  </si>
  <si>
    <t>Poids max</t>
  </si>
  <si>
    <t>Passagers AV</t>
  </si>
  <si>
    <t>Passagers AR</t>
  </si>
  <si>
    <t>Bagages max</t>
  </si>
  <si>
    <t>inutilisables</t>
  </si>
  <si>
    <t>Réservoirs aile</t>
  </si>
  <si>
    <t>Réservoir supp</t>
  </si>
  <si>
    <r>
      <rPr>
        <b/>
        <u/>
        <sz val="12"/>
        <color indexed="12"/>
        <rFont val="Calibri"/>
        <family val="2"/>
      </rPr>
      <t>Altitude-pression</t>
    </r>
    <r>
      <rPr>
        <u/>
        <sz val="12"/>
        <color indexed="12"/>
        <rFont val="Calibri"/>
        <family val="2"/>
      </rPr>
      <t xml:space="preserve"> selon le QNH local</t>
    </r>
  </si>
  <si>
    <r>
      <t xml:space="preserve">                Distance de décollage  </t>
    </r>
    <r>
      <rPr>
        <sz val="12"/>
        <color indexed="8"/>
        <rFont val="Calibri"/>
        <family val="2"/>
      </rPr>
      <t xml:space="preserve">= </t>
    </r>
  </si>
  <si>
    <r>
      <t xml:space="preserve">                Distance d'atterrissage  </t>
    </r>
    <r>
      <rPr>
        <sz val="12"/>
        <color indexed="8"/>
        <rFont val="Calibri"/>
        <family val="2"/>
      </rPr>
      <t xml:space="preserve">= </t>
    </r>
  </si>
  <si>
    <t>Terrain de départ</t>
  </si>
  <si>
    <t>Terrain de destination</t>
  </si>
  <si>
    <t>Vent (de face)</t>
  </si>
  <si>
    <t>Avion vide (1)</t>
  </si>
  <si>
    <r>
      <t xml:space="preserve">(1) L'avion "vide" ne contient que ses instruments et son huile, </t>
    </r>
    <r>
      <rPr>
        <u/>
        <sz val="9"/>
        <color rgb="FF0000FF"/>
        <rFont val="Calibri"/>
        <family val="2"/>
      </rPr>
      <t>pas d'essence</t>
    </r>
    <r>
      <rPr>
        <sz val="9"/>
        <color rgb="FF0000FF"/>
        <rFont val="Calibri"/>
        <family val="2"/>
      </rPr>
      <t>.</t>
    </r>
  </si>
  <si>
    <t>Altitude pression</t>
  </si>
  <si>
    <t>Masse</t>
  </si>
  <si>
    <t>Décollage</t>
  </si>
  <si>
    <t>Atterrissage</t>
  </si>
  <si>
    <t>Décollage immédiat</t>
  </si>
  <si>
    <t>Atterrissage immédiat</t>
  </si>
  <si>
    <t>Terrain de Départ</t>
  </si>
  <si>
    <t>Terrain de Destination</t>
  </si>
  <si>
    <t>Avion vide</t>
  </si>
  <si>
    <t>Cent Réel Arr</t>
  </si>
  <si>
    <t>Cent Réel Dep</t>
  </si>
  <si>
    <t>Terrain de Dégagement</t>
  </si>
  <si>
    <t>sans volet (+ 50 %) =</t>
  </si>
  <si>
    <t>Limites de Masse &amp; Centrage</t>
  </si>
  <si>
    <t>Autonomie :</t>
  </si>
  <si>
    <t>Pour éviter la destruction des formules, cette feuille est protégée. 
Pour enlever cette protection faire : "Révision" et "Ôter la protection de la feuille"</t>
  </si>
  <si>
    <t>Carburant à l'arrivée :</t>
  </si>
  <si>
    <t xml:space="preserve">Imprimé le : </t>
  </si>
  <si>
    <t>Performances</t>
  </si>
  <si>
    <t>Cent Réel 0</t>
  </si>
  <si>
    <t>Densité</t>
  </si>
  <si>
    <t>DR221</t>
  </si>
  <si>
    <t>Réservoir central</t>
  </si>
  <si>
    <t>Conso 75%</t>
  </si>
  <si>
    <t>Conso 65%</t>
  </si>
  <si>
    <t>Performances de décollage du Robin DR221  /  F-BOZU</t>
  </si>
  <si>
    <r>
      <rPr>
        <b/>
        <u/>
        <sz val="12"/>
        <color indexed="12"/>
        <rFont val="Times New Roman"/>
        <family val="1"/>
      </rPr>
      <t>Altitude-pression</t>
    </r>
    <r>
      <rPr>
        <u/>
        <sz val="12"/>
        <color indexed="12"/>
        <rFont val="Times New Roman"/>
        <family val="1"/>
      </rPr>
      <t xml:space="preserve"> selon le QNH local</t>
    </r>
  </si>
  <si>
    <r>
      <t xml:space="preserve">Altitude du terrain </t>
    </r>
    <r>
      <rPr>
        <sz val="10"/>
        <color indexed="8"/>
        <rFont val="Times New Roman"/>
        <family val="1"/>
      </rPr>
      <t>(VAC)</t>
    </r>
  </si>
  <si>
    <t>Altitude-</t>
  </si>
  <si>
    <t>Masse 840 Kg</t>
  </si>
  <si>
    <t>Masse 640 kg</t>
  </si>
  <si>
    <t>pression en ft</t>
  </si>
  <si>
    <t>Piste Béton</t>
  </si>
  <si>
    <t>Piste Herbe</t>
  </si>
  <si>
    <r>
      <t xml:space="preserve">Vent </t>
    </r>
    <r>
      <rPr>
        <sz val="10"/>
        <color indexed="8"/>
        <rFont val="Times New Roman"/>
        <family val="1"/>
      </rPr>
      <t>(composante de face)</t>
    </r>
  </si>
  <si>
    <t>→</t>
  </si>
  <si>
    <r>
      <t xml:space="preserve"> pour une composante arrière mettre un  </t>
    </r>
    <r>
      <rPr>
        <b/>
        <sz val="12"/>
        <rFont val="Calibri"/>
        <family val="2"/>
      </rPr>
      <t>—</t>
    </r>
  </si>
  <si>
    <t>coefficient vent :</t>
  </si>
  <si>
    <t>masse maximum :</t>
  </si>
  <si>
    <t>masse minimum :</t>
  </si>
  <si>
    <r>
      <t>Piste en Dur -</t>
    </r>
    <r>
      <rPr>
        <b/>
        <sz val="14"/>
        <color indexed="10"/>
        <rFont val="Times New Roman"/>
        <family val="1"/>
      </rPr>
      <t xml:space="preserve"> </t>
    </r>
    <r>
      <rPr>
        <sz val="14"/>
        <color indexed="10"/>
        <rFont val="Times New Roman"/>
        <family val="1"/>
      </rPr>
      <t>passage des 15 m</t>
    </r>
  </si>
  <si>
    <t xml:space="preserve">Distance de décollage d'après le manuel de vol   = </t>
  </si>
  <si>
    <t>m</t>
  </si>
  <si>
    <r>
      <t xml:space="preserve">Distance de décollage </t>
    </r>
    <r>
      <rPr>
        <sz val="14"/>
        <rFont val="Times New Roman"/>
        <family val="1"/>
      </rPr>
      <t xml:space="preserve">avec majoration Alcyons de </t>
    </r>
    <r>
      <rPr>
        <b/>
        <sz val="14"/>
        <color indexed="10"/>
        <rFont val="Times New Roman"/>
        <family val="1"/>
      </rPr>
      <t xml:space="preserve">15 % </t>
    </r>
    <r>
      <rPr>
        <b/>
        <sz val="14"/>
        <color indexed="8"/>
        <rFont val="Times New Roman"/>
        <family val="1"/>
      </rPr>
      <t xml:space="preserve"> = </t>
    </r>
  </si>
  <si>
    <r>
      <t xml:space="preserve">Piste en Herbe - </t>
    </r>
    <r>
      <rPr>
        <sz val="14"/>
        <color indexed="10"/>
        <rFont val="Times New Roman"/>
        <family val="1"/>
      </rPr>
      <t>passage des 15 m</t>
    </r>
  </si>
  <si>
    <r>
      <t xml:space="preserve">Distance de décollage </t>
    </r>
    <r>
      <rPr>
        <sz val="14"/>
        <rFont val="Times New Roman"/>
        <family val="1"/>
      </rPr>
      <t xml:space="preserve">avec majoration Alcyons de </t>
    </r>
    <r>
      <rPr>
        <b/>
        <sz val="14"/>
        <color indexed="10"/>
        <rFont val="Times New Roman"/>
        <family val="1"/>
      </rPr>
      <t>15 %</t>
    </r>
    <r>
      <rPr>
        <b/>
        <sz val="14"/>
        <color indexed="8"/>
        <rFont val="Times New Roman"/>
        <family val="1"/>
      </rPr>
      <t xml:space="preserve">  = </t>
    </r>
  </si>
  <si>
    <r>
      <rPr>
        <b/>
        <sz val="14"/>
        <color indexed="10"/>
        <rFont val="Times New Roman"/>
        <family val="1"/>
      </rPr>
      <t>aménagement</t>
    </r>
    <r>
      <rPr>
        <b/>
        <sz val="14"/>
        <rFont val="Times New Roman"/>
        <family val="1"/>
      </rPr>
      <t xml:space="preserve"> du manuel de vol du F-BOZU</t>
    </r>
  </si>
  <si>
    <t>Performances de décollage</t>
  </si>
  <si>
    <t>Par vent nul, volets au 1er cran, moteur plein gaz</t>
  </si>
  <si>
    <t>pression</t>
  </si>
  <si>
    <t>mètres</t>
  </si>
  <si>
    <t xml:space="preserve">                     Dans chaque case :        - Distance totale en m depuis l'arrêt pour passer 15 m à V = 1,3 Vs1</t>
  </si>
  <si>
    <t xml:space="preserve">                                                               - (Longueur de roulement pour atteindre 1,1 Vs1)</t>
  </si>
  <si>
    <t xml:space="preserve">                     Influence du vent :        pour</t>
  </si>
  <si>
    <t>multiplier par</t>
  </si>
  <si>
    <t xml:space="preserve">   (ces coefficients multiplicateurs</t>
  </si>
  <si>
    <t xml:space="preserve">                                                                pour</t>
  </si>
  <si>
    <t xml:space="preserve">    sont les coefficients des autres</t>
  </si>
  <si>
    <t xml:space="preserve">    avions Robin les plus pénalisants)</t>
  </si>
  <si>
    <t>extrait du manuel de vol du F-BOZU</t>
  </si>
  <si>
    <t>Distance de passage des 15 mètres au poids de 840 kg ; 1er cran de volets</t>
  </si>
  <si>
    <r>
      <t xml:space="preserve">           température en    </t>
    </r>
    <r>
      <rPr>
        <sz val="10"/>
        <color indexed="9"/>
        <rFont val="Candara"/>
        <family val="2"/>
      </rPr>
      <t xml:space="preserve">.  </t>
    </r>
    <r>
      <rPr>
        <sz val="10"/>
        <color indexed="8"/>
        <rFont val="Candara"/>
        <family val="2"/>
      </rPr>
      <t xml:space="preserve">   </t>
    </r>
    <r>
      <rPr>
        <b/>
        <sz val="13"/>
        <color indexed="8"/>
        <rFont val="Candara"/>
        <family val="2"/>
      </rPr>
      <t>Zm</t>
    </r>
    <r>
      <rPr>
        <sz val="14"/>
        <color indexed="8"/>
        <rFont val="Candara"/>
        <family val="2"/>
      </rPr>
      <t xml:space="preserve">       </t>
    </r>
    <r>
      <rPr>
        <sz val="14"/>
        <color indexed="9"/>
        <rFont val="Candara"/>
        <family val="2"/>
      </rPr>
      <t>.</t>
    </r>
    <r>
      <rPr>
        <sz val="14"/>
        <color indexed="8"/>
        <rFont val="Candara"/>
        <family val="2"/>
      </rPr>
      <t xml:space="preserve">        </t>
    </r>
    <r>
      <rPr>
        <sz val="13"/>
        <color indexed="8"/>
        <rFont val="Candara"/>
        <family val="2"/>
      </rPr>
      <t>°C</t>
    </r>
  </si>
  <si>
    <t>0°</t>
  </si>
  <si>
    <t>15°</t>
  </si>
  <si>
    <t>30°</t>
  </si>
  <si>
    <t>45°</t>
  </si>
  <si>
    <t>Piste béton</t>
  </si>
  <si>
    <t>(dont 60 %  de roulement)</t>
  </si>
  <si>
    <t>Piste herbe</t>
  </si>
  <si>
    <t>(dont 70 %  de roulement)</t>
  </si>
  <si>
    <r>
      <rPr>
        <b/>
        <u/>
        <sz val="11"/>
        <color indexed="8"/>
        <rFont val="Candara"/>
        <family val="2"/>
      </rPr>
      <t>Pour un poids de décollage inférieur</t>
    </r>
    <r>
      <rPr>
        <b/>
        <sz val="11"/>
        <color indexed="8"/>
        <rFont val="Candara"/>
        <family val="2"/>
      </rPr>
      <t xml:space="preserve"> , multiplier par le rapport</t>
    </r>
    <r>
      <rPr>
        <b/>
        <sz val="12"/>
        <color indexed="8"/>
        <rFont val="Candara"/>
        <family val="2"/>
      </rPr>
      <t xml:space="preserve">    ( P  effectif  Kg  / 830 )</t>
    </r>
    <r>
      <rPr>
        <b/>
        <vertAlign val="superscript"/>
        <sz val="12"/>
        <color indexed="8"/>
        <rFont val="Candara"/>
        <family val="2"/>
      </rPr>
      <t xml:space="preserve"> </t>
    </r>
    <r>
      <rPr>
        <b/>
        <vertAlign val="superscript"/>
        <sz val="14"/>
        <color indexed="8"/>
        <rFont val="Candara"/>
        <family val="2"/>
      </rPr>
      <t>2</t>
    </r>
  </si>
  <si>
    <t>Performances d'atterrissage du Robin DR221  /  F-BOZU</t>
  </si>
  <si>
    <t>Masse 750 kg</t>
  </si>
  <si>
    <t>Piste Béton ou Herbe</t>
  </si>
  <si>
    <t>distance 15 m</t>
  </si>
  <si>
    <t>roulement</t>
  </si>
  <si>
    <t>Influence du vent :       pour</t>
  </si>
  <si>
    <t xml:space="preserve">                                          pour</t>
  </si>
  <si>
    <r>
      <t xml:space="preserve">Piste en Dur ou en Herbe - </t>
    </r>
    <r>
      <rPr>
        <sz val="14"/>
        <rFont val="Times New Roman"/>
        <family val="1"/>
      </rPr>
      <t>freinage modéré</t>
    </r>
    <r>
      <rPr>
        <b/>
        <sz val="14"/>
        <rFont val="Times New Roman"/>
        <family val="1"/>
      </rPr>
      <t xml:space="preserve"> - </t>
    </r>
    <r>
      <rPr>
        <sz val="14"/>
        <color indexed="10"/>
        <rFont val="Times New Roman"/>
        <family val="1"/>
      </rPr>
      <t>passage des 15 m</t>
    </r>
  </si>
  <si>
    <r>
      <t>Distance de roulage d'après le manuel de vol</t>
    </r>
    <r>
      <rPr>
        <sz val="10"/>
        <color indexed="10"/>
        <rFont val="Times New Roman"/>
        <family val="1"/>
      </rPr>
      <t xml:space="preserve"> + 300 m de forfait Alcyons</t>
    </r>
    <r>
      <rPr>
        <sz val="10"/>
        <color indexed="8"/>
        <rFont val="Times New Roman"/>
        <family val="1"/>
      </rPr>
      <t xml:space="preserve"> =</t>
    </r>
  </si>
  <si>
    <r>
      <t xml:space="preserve">Distance d'atterrissage </t>
    </r>
    <r>
      <rPr>
        <sz val="13"/>
        <rFont val="Times New Roman"/>
        <family val="1"/>
      </rPr>
      <t>avec majoration Alcyons de</t>
    </r>
    <r>
      <rPr>
        <sz val="13"/>
        <color indexed="10"/>
        <rFont val="Times New Roman"/>
        <family val="1"/>
      </rPr>
      <t xml:space="preserve"> </t>
    </r>
    <r>
      <rPr>
        <b/>
        <sz val="13"/>
        <color indexed="10"/>
        <rFont val="Times New Roman"/>
        <family val="1"/>
      </rPr>
      <t xml:space="preserve">15 % </t>
    </r>
    <r>
      <rPr>
        <b/>
        <sz val="13"/>
        <rFont val="Times New Roman"/>
        <family val="1"/>
      </rPr>
      <t xml:space="preserve"> = </t>
    </r>
  </si>
  <si>
    <r>
      <t>Dist. d'atterrissage</t>
    </r>
    <r>
      <rPr>
        <b/>
        <sz val="13"/>
        <color indexed="10"/>
        <rFont val="Times New Roman"/>
        <family val="1"/>
      </rPr>
      <t xml:space="preserve"> sans volet </t>
    </r>
    <r>
      <rPr>
        <sz val="13"/>
        <rFont val="Times New Roman"/>
        <family val="1"/>
      </rPr>
      <t xml:space="preserve">avec majoration Alcyons de </t>
    </r>
    <r>
      <rPr>
        <b/>
        <sz val="13"/>
        <color indexed="10"/>
        <rFont val="Times New Roman"/>
        <family val="1"/>
      </rPr>
      <t>50 %</t>
    </r>
    <r>
      <rPr>
        <b/>
        <sz val="13"/>
        <rFont val="Times New Roman"/>
        <family val="1"/>
      </rPr>
      <t xml:space="preserve">  =</t>
    </r>
  </si>
  <si>
    <t>Performances d'atterrissage</t>
  </si>
  <si>
    <t>Distance de roulement avec freinage modéré</t>
  </si>
  <si>
    <t>Masse à l'atterrissage classique (3 points)</t>
  </si>
  <si>
    <t>Vi de présentation (volets 60°)</t>
  </si>
  <si>
    <t>km/h</t>
  </si>
  <si>
    <t>Distance de roulement (m), freinage modéré</t>
  </si>
  <si>
    <r>
      <t>Nota</t>
    </r>
    <r>
      <rPr>
        <b/>
        <sz val="11"/>
        <color indexed="8"/>
        <rFont val="Candara"/>
        <family val="2"/>
      </rPr>
      <t xml:space="preserve">  :  Freiner modérément au centrage AV</t>
    </r>
  </si>
  <si>
    <r>
      <t xml:space="preserve">Piste en dur - </t>
    </r>
    <r>
      <rPr>
        <sz val="12"/>
        <rFont val="Calibri"/>
        <family val="2"/>
      </rPr>
      <t xml:space="preserve">passage des 15 m - </t>
    </r>
    <r>
      <rPr>
        <sz val="12"/>
        <color indexed="10"/>
        <rFont val="Calibri"/>
        <family val="2"/>
      </rPr>
      <t xml:space="preserve">avec majoration Alcyons de </t>
    </r>
    <r>
      <rPr>
        <b/>
        <sz val="12"/>
        <color indexed="10"/>
        <rFont val="Calibri"/>
        <family val="2"/>
      </rPr>
      <t>15 %</t>
    </r>
  </si>
  <si>
    <r>
      <t xml:space="preserve">Piste en herbe - </t>
    </r>
    <r>
      <rPr>
        <sz val="12"/>
        <rFont val="Calibri"/>
        <family val="2"/>
      </rPr>
      <t xml:space="preserve">passage des 15 m - </t>
    </r>
    <r>
      <rPr>
        <sz val="12"/>
        <color indexed="10"/>
        <rFont val="Calibri"/>
        <family val="2"/>
      </rPr>
      <t xml:space="preserve">avec majoration Alcyons de </t>
    </r>
    <r>
      <rPr>
        <b/>
        <sz val="12"/>
        <color indexed="10"/>
        <rFont val="Calibri"/>
        <family val="2"/>
      </rPr>
      <t>15 %</t>
    </r>
  </si>
  <si>
    <r>
      <t xml:space="preserve">   Distance de décollage  </t>
    </r>
    <r>
      <rPr>
        <sz val="12"/>
        <color indexed="8"/>
        <rFont val="Calibri"/>
        <family val="2"/>
      </rPr>
      <t xml:space="preserve">= </t>
    </r>
  </si>
  <si>
    <r>
      <t xml:space="preserve">Piste en dur ou en herbe - </t>
    </r>
    <r>
      <rPr>
        <sz val="12"/>
        <rFont val="Calibri"/>
        <family val="2"/>
      </rPr>
      <t xml:space="preserve">passage des 15 m - </t>
    </r>
    <r>
      <rPr>
        <sz val="12"/>
        <color indexed="10"/>
        <rFont val="Calibri"/>
        <family val="2"/>
      </rPr>
      <t xml:space="preserve">avec majoration Alcyons de </t>
    </r>
    <r>
      <rPr>
        <b/>
        <sz val="12"/>
        <color indexed="10"/>
        <rFont val="Calibri"/>
        <family val="2"/>
      </rPr>
      <t>15 %</t>
    </r>
  </si>
  <si>
    <r>
      <t xml:space="preserve">elle doit être      </t>
    </r>
    <r>
      <rPr>
        <b/>
        <u/>
        <sz val="7"/>
        <color indexed="10"/>
        <rFont val="Times New Roman"/>
        <family val="1"/>
      </rPr>
      <t>&lt;</t>
    </r>
    <r>
      <rPr>
        <b/>
        <sz val="7"/>
        <color indexed="10"/>
        <rFont val="Times New Roman"/>
        <family val="1"/>
      </rPr>
      <t xml:space="preserve"> TODA</t>
    </r>
  </si>
  <si>
    <r>
      <t xml:space="preserve">elle doit être  </t>
    </r>
    <r>
      <rPr>
        <b/>
        <u/>
        <sz val="7"/>
        <color indexed="10"/>
        <rFont val="Times New Roman"/>
        <family val="1"/>
      </rPr>
      <t>&lt;</t>
    </r>
    <r>
      <rPr>
        <b/>
        <sz val="7"/>
        <color indexed="10"/>
        <rFont val="Times New Roman"/>
        <family val="1"/>
      </rPr>
      <t xml:space="preserve"> LDA</t>
    </r>
  </si>
  <si>
    <r>
      <t xml:space="preserve">elle doit être   </t>
    </r>
    <r>
      <rPr>
        <b/>
        <u/>
        <sz val="7"/>
        <color indexed="10"/>
        <rFont val="Times New Roman"/>
        <family val="1"/>
      </rPr>
      <t>&lt;</t>
    </r>
    <r>
      <rPr>
        <b/>
        <sz val="7"/>
        <color indexed="10"/>
        <rFont val="Times New Roman"/>
        <family val="1"/>
      </rPr>
      <t xml:space="preserve"> LDA</t>
    </r>
  </si>
  <si>
    <t>extrait du manuel de vol du DR221</t>
  </si>
  <si>
    <r>
      <t>Performances de DECOLLAGE</t>
    </r>
    <r>
      <rPr>
        <sz val="13"/>
        <color rgb="FF0000FF"/>
        <rFont val="Calibri"/>
        <family val="2"/>
      </rPr>
      <t xml:space="preserve">  (retour immédiat)</t>
    </r>
  </si>
  <si>
    <r>
      <t xml:space="preserve"> pour une composante arrière mettre un  </t>
    </r>
    <r>
      <rPr>
        <b/>
        <sz val="12"/>
        <color rgb="FF0000FF"/>
        <rFont val="Calibri"/>
        <family val="2"/>
      </rPr>
      <t>—</t>
    </r>
  </si>
  <si>
    <t>Piste en herbe</t>
  </si>
  <si>
    <t>Distances avec passage des 15 mètres et majoration Alcyons de 15 %</t>
  </si>
  <si>
    <t>Terrain de dégagement</t>
  </si>
  <si>
    <t>Altitude densité</t>
  </si>
  <si>
    <r>
      <rPr>
        <b/>
        <u/>
        <sz val="13"/>
        <color rgb="FF0000FF"/>
        <rFont val="Calibri"/>
        <family val="2"/>
      </rPr>
      <t>Performances d'ATTERRISSAGE</t>
    </r>
    <r>
      <rPr>
        <b/>
        <sz val="13"/>
        <color rgb="FF0000FF"/>
        <rFont val="Calibri"/>
        <family val="2"/>
      </rPr>
      <t xml:space="preserve"> *  </t>
    </r>
    <r>
      <rPr>
        <sz val="13"/>
        <color rgb="FF0000FF"/>
        <rFont val="Calibri"/>
        <family val="2"/>
      </rPr>
      <t>(retour immédiat)</t>
    </r>
  </si>
  <si>
    <r>
      <rPr>
        <b/>
        <u/>
        <sz val="13"/>
        <color rgb="FF0000FF"/>
        <rFont val="Calibri"/>
        <family val="2"/>
      </rPr>
      <t>Performances d'ATTERRISSAGE</t>
    </r>
    <r>
      <rPr>
        <b/>
        <sz val="13"/>
        <color rgb="FF0000FF"/>
        <rFont val="Calibri"/>
        <family val="2"/>
      </rPr>
      <t xml:space="preserve"> *</t>
    </r>
  </si>
  <si>
    <t>Bagages</t>
  </si>
  <si>
    <r>
      <t xml:space="preserve">elle doit être </t>
    </r>
    <r>
      <rPr>
        <b/>
        <u/>
        <sz val="12"/>
        <color indexed="10"/>
        <rFont val="Calibri"/>
        <family val="2"/>
      </rPr>
      <t>&lt;</t>
    </r>
    <r>
      <rPr>
        <b/>
        <sz val="12"/>
        <color indexed="10"/>
        <rFont val="Calibri"/>
        <family val="2"/>
      </rPr>
      <t xml:space="preserve"> LDA</t>
    </r>
  </si>
  <si>
    <r>
      <t xml:space="preserve">elle doit être </t>
    </r>
    <r>
      <rPr>
        <b/>
        <u/>
        <sz val="12"/>
        <color indexed="10"/>
        <rFont val="Calibri"/>
        <family val="2"/>
      </rPr>
      <t>&lt;</t>
    </r>
    <r>
      <rPr>
        <b/>
        <sz val="12"/>
        <color indexed="10"/>
        <rFont val="Calibri"/>
        <family val="2"/>
      </rPr>
      <t xml:space="preserve"> TODA</t>
    </r>
  </si>
  <si>
    <t>Altitude densité =</t>
  </si>
  <si>
    <t>*</t>
  </si>
  <si>
    <r>
      <t>Le tableau de performance d'</t>
    </r>
    <r>
      <rPr>
        <b/>
        <sz val="11"/>
        <rFont val="Calibri"/>
        <family val="2"/>
      </rPr>
      <t>atterrissage</t>
    </r>
    <r>
      <rPr>
        <sz val="11"/>
        <rFont val="Calibri"/>
        <family val="2"/>
      </rPr>
      <t xml:space="preserve"> du Manuel de Vol du DR221 ne propose qu'un seul</t>
    </r>
  </si>
  <si>
    <r>
      <t xml:space="preserve">  paramètre : la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masse</t>
    </r>
    <r>
      <rPr>
        <sz val="11"/>
        <rFont val="Calibri"/>
        <family val="2"/>
      </rPr>
      <t xml:space="preserve"> à l'atterrissage (donc ni altitude, ni température)</t>
    </r>
  </si>
  <si>
    <r>
      <t xml:space="preserve">Le résultat de ce tableau de performance est la </t>
    </r>
    <r>
      <rPr>
        <b/>
        <sz val="11"/>
        <color indexed="10"/>
        <rFont val="Calibri"/>
        <family val="2"/>
      </rPr>
      <t>distance de roulement</t>
    </r>
  </si>
  <si>
    <r>
      <t xml:space="preserve">Les distances de roulement sont augmentées de </t>
    </r>
    <r>
      <rPr>
        <b/>
        <sz val="11"/>
        <rFont val="Calibri"/>
        <family val="2"/>
      </rPr>
      <t>15%</t>
    </r>
    <r>
      <rPr>
        <sz val="11"/>
        <rFont val="Calibri"/>
        <family val="2"/>
      </rPr>
      <t xml:space="preserve"> ou </t>
    </r>
    <r>
      <rPr>
        <b/>
        <sz val="11"/>
        <rFont val="Calibri"/>
        <family val="2"/>
      </rPr>
      <t>50% sans volet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 xml:space="preserve">majorations </t>
    </r>
    <r>
      <rPr>
        <b/>
        <sz val="11"/>
        <color indexed="10"/>
        <rFont val="Calibri"/>
        <family val="2"/>
      </rPr>
      <t>Alcyons</t>
    </r>
    <r>
      <rPr>
        <sz val="11"/>
        <rFont val="Calibri"/>
        <family val="2"/>
      </rPr>
      <t>), puis</t>
    </r>
  </si>
  <si>
    <r>
      <t xml:space="preserve">  augmentées de </t>
    </r>
    <r>
      <rPr>
        <b/>
        <sz val="11"/>
        <color indexed="10"/>
        <rFont val="Calibri"/>
        <family val="2"/>
      </rPr>
      <t>300 m</t>
    </r>
    <r>
      <rPr>
        <sz val="11"/>
        <rFont val="Calibri"/>
        <family val="2"/>
      </rPr>
      <t xml:space="preserve"> (</t>
    </r>
    <r>
      <rPr>
        <sz val="11"/>
        <color indexed="10"/>
        <rFont val="Calibri"/>
        <family val="2"/>
      </rPr>
      <t xml:space="preserve">distance forfaitaire </t>
    </r>
    <r>
      <rPr>
        <b/>
        <sz val="11"/>
        <color indexed="10"/>
        <rFont val="Calibri"/>
        <family val="2"/>
      </rPr>
      <t>Alcyons</t>
    </r>
    <r>
      <rPr>
        <sz val="11"/>
        <rFont val="Calibri"/>
        <family val="2"/>
      </rPr>
      <t xml:space="preserve"> du passage des 15 mètres jusqu'à la zone de posé)</t>
    </r>
  </si>
  <si>
    <t>atterrissage sans volet</t>
  </si>
  <si>
    <r>
      <t>Performances de DECOLLAGE</t>
    </r>
    <r>
      <rPr>
        <sz val="13"/>
        <color rgb="FF0000FF"/>
        <rFont val="Calibri"/>
        <family val="2"/>
      </rPr>
      <t xml:space="preserve">  (départ immédiat)</t>
    </r>
  </si>
  <si>
    <t>ISA</t>
  </si>
  <si>
    <t>F-BPCT</t>
  </si>
  <si>
    <t>LFPZ</t>
  </si>
  <si>
    <t>LFPN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</si>
</sst>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3" formatCode="_-* #,##0.00_-;\-* #,##0.00_-;_-* &quot;-&quot;??_-;_-@_-"/>
    <numFmt numFmtId="164" formatCode="\(000\)"/>
    <numFmt numFmtId="165" formatCode="0\°"/>
    <numFmt numFmtId="166" formatCode="0&quot; kt&quot;"/>
    <numFmt numFmtId="167" formatCode="0&quot; ft&quot;"/>
    <numFmt numFmtId="168" formatCode="&quot;= ISA &quot;0&quot;° C&quot;"/>
    <numFmt numFmtId="169" formatCode="#,##0.000"/>
    <numFmt numFmtId="170" formatCode="0.000"/>
    <numFmt numFmtId="171" formatCode="0.0"/>
    <numFmt numFmtId="172" formatCode="#,##0&quot; kg&quot;"/>
    <numFmt numFmtId="173" formatCode="0&quot; litres&quot;"/>
    <numFmt numFmtId="174" formatCode="0&quot; l/h&quot;"/>
    <numFmt numFmtId="175" formatCode="0&quot;  mètres&quot;"/>
    <numFmt numFmtId="176" formatCode="0&quot;  m&quot;"/>
    <numFmt numFmtId="177" formatCode="h:mm;@"/>
    <numFmt numFmtId="178" formatCode="[$-F800]dddd\,\ mmmm\ dd\,\ yyyy"/>
    <numFmt numFmtId="179" formatCode="[$-40C]dddd\ d\ mmmm\ yyyy\ &quot;à&quot;\ hh:mm\ &quot; (heure locale)&quot;"/>
    <numFmt numFmtId="180" formatCode="_-* #,##0.000_-;\-* #,##0.000_-;_-* &quot;-&quot;??_-;_-@_-"/>
    <numFmt numFmtId="181" formatCode="&quot;Reserve : &quot;h:mm"/>
    <numFmt numFmtId="182" formatCode="&quot;Auton. : &quot;h:mm"/>
    <numFmt numFmtId="183" formatCode="0.00&quot; m&quot;"/>
    <numFmt numFmtId="184" formatCode="0&quot; m&quot;"/>
    <numFmt numFmtId="185" formatCode="&quot;= &quot;0&quot; ft&quot;"/>
    <numFmt numFmtId="186" formatCode="&quot;= &quot;0&quot; m&quot;"/>
    <numFmt numFmtId="187" formatCode="&quot; =  &quot;0&quot; m&quot;"/>
    <numFmt numFmtId="188" formatCode="&quot;(&quot;0&quot; ft)&quot;"/>
    <numFmt numFmtId="189" formatCode="&quot;(&quot;0.00&quot; ft)&quot;"/>
    <numFmt numFmtId="190" formatCode="&quot;Std =   &quot;\-0"/>
    <numFmt numFmtId="191" formatCode="0&quot; hPa&quot;"/>
    <numFmt numFmtId="192" formatCode="0&quot; °C&quot;"/>
    <numFmt numFmtId="193" formatCode="0&quot; kg&quot;"/>
    <numFmt numFmtId="194" formatCode="&quot;(ISA &quot;\+0&quot;° C)&quot;;&quot;(ISA &quot;\-0&quot;° C)&quot;;&quot;(ISA)&quot;"/>
  </numFmts>
  <fonts count="15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1"/>
      <color theme="1"/>
      <name val="Candara"/>
      <family val="2"/>
    </font>
    <font>
      <b/>
      <sz val="10"/>
      <color theme="1"/>
      <name val="Candara"/>
      <family val="2"/>
    </font>
    <font>
      <sz val="11"/>
      <name val="Calibri"/>
      <family val="2"/>
      <scheme val="minor"/>
    </font>
    <font>
      <b/>
      <sz val="14"/>
      <color rgb="FF0000FF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4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sz val="9"/>
      <color theme="0"/>
      <name val="Calibri"/>
      <family val="2"/>
    </font>
    <font>
      <sz val="9"/>
      <color theme="1"/>
      <name val="Calibri"/>
      <family val="2"/>
    </font>
    <font>
      <sz val="36"/>
      <color theme="1"/>
      <name val="Calibri"/>
      <family val="2"/>
    </font>
    <font>
      <u/>
      <sz val="12"/>
      <color indexed="12"/>
      <name val="Calibri"/>
      <family val="2"/>
    </font>
    <font>
      <b/>
      <u/>
      <sz val="12"/>
      <color indexed="12"/>
      <name val="Calibri"/>
      <family val="2"/>
    </font>
    <font>
      <sz val="12"/>
      <color rgb="FF0000FF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2"/>
      <name val="Calibri"/>
      <family val="2"/>
    </font>
    <font>
      <sz val="12"/>
      <color indexed="10"/>
      <name val="Calibri"/>
      <family val="2"/>
    </font>
    <font>
      <b/>
      <sz val="12"/>
      <color indexed="10"/>
      <name val="Calibri"/>
      <family val="2"/>
    </font>
    <font>
      <sz val="14"/>
      <color rgb="FF0000FF"/>
      <name val="Calibri"/>
      <family val="2"/>
    </font>
    <font>
      <sz val="8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8"/>
      <color indexed="10"/>
      <name val="Calibri"/>
      <family val="2"/>
    </font>
    <font>
      <b/>
      <sz val="8"/>
      <name val="Calibri"/>
      <family val="2"/>
    </font>
    <font>
      <b/>
      <sz val="8"/>
      <color indexed="12"/>
      <name val="Calibri"/>
      <family val="2"/>
    </font>
    <font>
      <b/>
      <sz val="11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b/>
      <sz val="18"/>
      <name val="Calibri"/>
      <family val="2"/>
    </font>
    <font>
      <sz val="12"/>
      <color rgb="FF00B050"/>
      <name val="Calibri"/>
      <family val="2"/>
    </font>
    <font>
      <sz val="12"/>
      <color rgb="FF0000FF"/>
      <name val="Times New Roman"/>
      <family val="1"/>
    </font>
    <font>
      <b/>
      <sz val="12"/>
      <color rgb="FF0000FF"/>
      <name val="Calibri"/>
      <family val="2"/>
    </font>
    <font>
      <sz val="9"/>
      <color rgb="FF0000FF"/>
      <name val="Calibri"/>
      <family val="2"/>
    </font>
    <font>
      <u/>
      <sz val="9"/>
      <color rgb="FF0000FF"/>
      <name val="Calibri"/>
      <family val="2"/>
    </font>
    <font>
      <sz val="9"/>
      <color rgb="FFFF0000"/>
      <name val="Calibri"/>
      <family val="2"/>
    </font>
    <font>
      <b/>
      <u/>
      <sz val="13"/>
      <color rgb="FF0000FF"/>
      <name val="Calibri"/>
      <family val="2"/>
    </font>
    <font>
      <b/>
      <sz val="13"/>
      <color rgb="FF0000FF"/>
      <name val="Calibri"/>
      <family val="2"/>
    </font>
    <font>
      <sz val="13"/>
      <color rgb="FF0000FF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8"/>
      <color rgb="FF0000FF"/>
      <name val="Calibri"/>
      <family val="2"/>
    </font>
    <font>
      <u/>
      <sz val="8"/>
      <name val="Calibri"/>
      <family val="2"/>
    </font>
    <font>
      <b/>
      <sz val="8"/>
      <color rgb="FFFF0000"/>
      <name val="Calibri"/>
      <family val="2"/>
    </font>
    <font>
      <b/>
      <sz val="12"/>
      <color indexed="1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36"/>
      <color theme="1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color indexed="12"/>
      <name val="Times New Roman"/>
      <family val="1"/>
    </font>
    <font>
      <sz val="9"/>
      <color theme="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0000FF"/>
      <name val="Times New Roman"/>
      <family val="1"/>
    </font>
    <font>
      <sz val="10"/>
      <color indexed="8"/>
      <name val="Times New Roman"/>
      <family val="1"/>
    </font>
    <font>
      <b/>
      <sz val="14"/>
      <color rgb="FF0000FF"/>
      <name val="Times New Roman"/>
      <family val="1"/>
    </font>
    <font>
      <sz val="11"/>
      <color rgb="FF0000FF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b/>
      <sz val="11"/>
      <color theme="1"/>
      <name val="Times New Roman"/>
      <family val="1"/>
    </font>
    <font>
      <sz val="24"/>
      <name val="Times New Roman"/>
      <family val="1"/>
    </font>
    <font>
      <sz val="12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14"/>
      <color rgb="FFFF0000"/>
      <name val="Times New Roman"/>
      <family val="1"/>
    </font>
    <font>
      <sz val="9"/>
      <color theme="1"/>
      <name val="Wingdings"/>
      <charset val="2"/>
    </font>
    <font>
      <b/>
      <sz val="14"/>
      <color indexed="10"/>
      <name val="Times New Roman"/>
      <family val="1"/>
    </font>
    <font>
      <sz val="14"/>
      <color indexed="10"/>
      <name val="Times New Roman"/>
      <family val="1"/>
    </font>
    <font>
      <sz val="14"/>
      <color rgb="FF0000FF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6"/>
      <color theme="1"/>
      <name val="Times New Roman"/>
      <family val="1"/>
    </font>
    <font>
      <b/>
      <sz val="10"/>
      <color rgb="FF0000FF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FF"/>
      <name val="Candara"/>
      <family val="2"/>
    </font>
    <font>
      <sz val="11"/>
      <name val="Candara"/>
      <family val="2"/>
    </font>
    <font>
      <b/>
      <sz val="10"/>
      <color rgb="FF0000FF"/>
      <name val="Candara"/>
      <family val="2"/>
    </font>
    <font>
      <b/>
      <sz val="9"/>
      <color rgb="FF0000FF"/>
      <name val="Candara"/>
      <family val="2"/>
    </font>
    <font>
      <sz val="12"/>
      <color theme="1"/>
      <name val="Candara"/>
      <family val="2"/>
    </font>
    <font>
      <sz val="10"/>
      <color theme="1"/>
      <name val="Candara"/>
      <family val="2"/>
    </font>
    <font>
      <sz val="10"/>
      <color indexed="9"/>
      <name val="Candara"/>
      <family val="2"/>
    </font>
    <font>
      <sz val="10"/>
      <color indexed="8"/>
      <name val="Candara"/>
      <family val="2"/>
    </font>
    <font>
      <b/>
      <sz val="13"/>
      <color indexed="8"/>
      <name val="Candara"/>
      <family val="2"/>
    </font>
    <font>
      <sz val="14"/>
      <color indexed="8"/>
      <name val="Candara"/>
      <family val="2"/>
    </font>
    <font>
      <sz val="14"/>
      <color indexed="9"/>
      <name val="Candara"/>
      <family val="2"/>
    </font>
    <font>
      <sz val="13"/>
      <color indexed="8"/>
      <name val="Candara"/>
      <family val="2"/>
    </font>
    <font>
      <b/>
      <sz val="11"/>
      <color rgb="FF0000FF"/>
      <name val="Candara"/>
      <family val="2"/>
    </font>
    <font>
      <b/>
      <sz val="11"/>
      <color rgb="FFFF0000"/>
      <name val="Candara"/>
      <family val="2"/>
    </font>
    <font>
      <b/>
      <sz val="10"/>
      <color rgb="FFFF0000"/>
      <name val="Candara"/>
      <family val="2"/>
    </font>
    <font>
      <sz val="9"/>
      <color rgb="FF0000FF"/>
      <name val="Candara"/>
      <family val="2"/>
    </font>
    <font>
      <b/>
      <u/>
      <sz val="11"/>
      <color indexed="8"/>
      <name val="Candara"/>
      <family val="2"/>
    </font>
    <font>
      <b/>
      <sz val="11"/>
      <color indexed="8"/>
      <name val="Candara"/>
      <family val="2"/>
    </font>
    <font>
      <b/>
      <sz val="12"/>
      <color indexed="8"/>
      <name val="Candara"/>
      <family val="2"/>
    </font>
    <font>
      <b/>
      <vertAlign val="superscript"/>
      <sz val="12"/>
      <color indexed="8"/>
      <name val="Candara"/>
      <family val="2"/>
    </font>
    <font>
      <b/>
      <vertAlign val="superscript"/>
      <sz val="14"/>
      <color indexed="8"/>
      <name val="Candara"/>
      <family val="2"/>
    </font>
    <font>
      <sz val="11"/>
      <color rgb="FFFF0000"/>
      <name val="Times New Roman"/>
      <family val="1"/>
    </font>
    <font>
      <strike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indexed="1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10"/>
      <name val="Times New Roman"/>
      <family val="1"/>
    </font>
    <font>
      <b/>
      <sz val="13"/>
      <color indexed="10"/>
      <name val="Times New Roman"/>
      <family val="1"/>
    </font>
    <font>
      <sz val="13"/>
      <color rgb="FF0000FF"/>
      <name val="Times New Roman"/>
      <family val="1"/>
    </font>
    <font>
      <b/>
      <sz val="13"/>
      <color theme="1"/>
      <name val="Times New Roman"/>
      <family val="1"/>
    </font>
    <font>
      <b/>
      <sz val="7"/>
      <color indexed="10"/>
      <name val="Times New Roman"/>
      <family val="1"/>
    </font>
    <font>
      <b/>
      <u/>
      <sz val="7"/>
      <color indexed="10"/>
      <name val="Times New Roman"/>
      <family val="1"/>
    </font>
    <font>
      <b/>
      <u/>
      <sz val="14"/>
      <color theme="1"/>
      <name val="Candara"/>
      <family val="2"/>
    </font>
    <font>
      <b/>
      <sz val="11"/>
      <color rgb="FF0000FF"/>
      <name val="Times New Roman"/>
      <family val="1"/>
    </font>
    <font>
      <b/>
      <sz val="9"/>
      <color rgb="FFFF0000"/>
      <name val="Calibri"/>
      <family val="2"/>
    </font>
    <font>
      <sz val="11"/>
      <color rgb="FF0000FF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4"/>
      <color rgb="FFFF0000"/>
      <name val="Calibri"/>
      <family val="2"/>
    </font>
    <font>
      <sz val="24"/>
      <color rgb="FF0000FF"/>
      <name val="Calibri"/>
      <family val="2"/>
    </font>
    <font>
      <b/>
      <u/>
      <sz val="12"/>
      <color indexed="10"/>
      <name val="Calibri"/>
      <family val="2"/>
    </font>
    <font>
      <sz val="10"/>
      <color rgb="FF0000FF"/>
      <name val="Calibri"/>
      <family val="2"/>
    </font>
    <font>
      <sz val="13"/>
      <color rgb="FF0033CC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EAF1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7FFB7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9FFC9"/>
        <bgColor indexed="64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hair">
        <color rgb="FF505050"/>
      </left>
      <right style="medium">
        <color rgb="FF505050"/>
      </right>
      <top style="medium">
        <color rgb="FF505050"/>
      </top>
      <bottom/>
      <diagonal/>
    </border>
    <border>
      <left style="hair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hair">
        <color rgb="FF505050"/>
      </left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 style="hair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hair">
        <color rgb="FF505050"/>
      </right>
      <top style="medium">
        <color rgb="FF505050"/>
      </top>
      <bottom style="medium">
        <color rgb="FF505050"/>
      </bottom>
      <diagonal/>
    </border>
  </borders>
  <cellStyleXfs count="2">
    <xf numFmtId="0" fontId="0" fillId="0" borderId="0"/>
    <xf numFmtId="43" fontId="66" fillId="0" borderId="0" applyFont="0" applyFill="0" applyBorder="0" applyAlignment="0" applyProtection="0"/>
  </cellStyleXfs>
  <cellXfs count="752">
    <xf numFmtId="0" fontId="0" fillId="0" borderId="0" xfId="0"/>
    <xf numFmtId="0" fontId="11" fillId="0" borderId="0" xfId="0" applyFont="1"/>
    <xf numFmtId="0" fontId="13" fillId="5" borderId="14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Continuous" vertical="center"/>
      <protection hidden="1"/>
    </xf>
    <xf numFmtId="0" fontId="0" fillId="2" borderId="0" xfId="0" applyFill="1" applyProtection="1">
      <protection hidden="1"/>
    </xf>
    <xf numFmtId="0" fontId="0" fillId="4" borderId="0" xfId="0" applyFill="1" applyProtection="1">
      <protection hidden="1"/>
    </xf>
    <xf numFmtId="0" fontId="0" fillId="0" borderId="0" xfId="0" applyProtection="1">
      <protection hidden="1"/>
    </xf>
    <xf numFmtId="0" fontId="11" fillId="8" borderId="0" xfId="0" applyFont="1" applyFill="1" applyProtection="1">
      <protection hidden="1"/>
    </xf>
    <xf numFmtId="0" fontId="11" fillId="2" borderId="5" xfId="0" applyFont="1" applyFill="1" applyBorder="1" applyProtection="1">
      <protection hidden="1"/>
    </xf>
    <xf numFmtId="0" fontId="16" fillId="2" borderId="6" xfId="0" applyFont="1" applyFill="1" applyBorder="1" applyProtection="1">
      <protection hidden="1"/>
    </xf>
    <xf numFmtId="0" fontId="15" fillId="2" borderId="6" xfId="0" applyFont="1" applyFill="1" applyBorder="1" applyProtection="1">
      <protection hidden="1"/>
    </xf>
    <xf numFmtId="167" fontId="17" fillId="2" borderId="9" xfId="0" applyNumberFormat="1" applyFont="1" applyFill="1" applyBorder="1" applyAlignment="1" applyProtection="1">
      <alignment horizontal="centerContinuous" vertical="center"/>
      <protection hidden="1"/>
    </xf>
    <xf numFmtId="0" fontId="18" fillId="2" borderId="6" xfId="0" applyFont="1" applyFill="1" applyBorder="1" applyAlignment="1" applyProtection="1">
      <alignment horizontal="left"/>
      <protection hidden="1"/>
    </xf>
    <xf numFmtId="0" fontId="11" fillId="2" borderId="4" xfId="0" applyFont="1" applyFill="1" applyBorder="1" applyProtection="1">
      <protection hidden="1"/>
    </xf>
    <xf numFmtId="0" fontId="46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left" vertical="center" indent="3"/>
      <protection hidden="1"/>
    </xf>
    <xf numFmtId="0" fontId="11" fillId="2" borderId="0" xfId="0" applyFont="1" applyFill="1" applyProtection="1">
      <protection hidden="1"/>
    </xf>
    <xf numFmtId="165" fontId="31" fillId="2" borderId="0" xfId="0" applyNumberFormat="1" applyFont="1" applyFill="1" applyAlignment="1" applyProtection="1">
      <alignment horizontal="center" vertical="top"/>
      <protection hidden="1"/>
    </xf>
    <xf numFmtId="1" fontId="11" fillId="2" borderId="0" xfId="0" applyNumberFormat="1" applyFont="1" applyFill="1" applyAlignment="1" applyProtection="1">
      <alignment horizontal="right" vertical="top" indent="1"/>
      <protection hidden="1"/>
    </xf>
    <xf numFmtId="164" fontId="30" fillId="2" borderId="0" xfId="0" applyNumberFormat="1" applyFont="1" applyFill="1" applyAlignment="1" applyProtection="1">
      <alignment horizontal="left" vertical="top"/>
      <protection hidden="1"/>
    </xf>
    <xf numFmtId="1" fontId="30" fillId="2" borderId="0" xfId="0" applyNumberFormat="1" applyFont="1" applyFill="1" applyAlignment="1" applyProtection="1">
      <alignment horizontal="right" vertical="top" indent="1"/>
      <protection hidden="1"/>
    </xf>
    <xf numFmtId="0" fontId="28" fillId="2" borderId="0" xfId="0" applyFont="1" applyFill="1" applyAlignment="1" applyProtection="1">
      <alignment horizontal="center" vertical="center"/>
      <protection hidden="1"/>
    </xf>
    <xf numFmtId="0" fontId="27" fillId="2" borderId="0" xfId="0" applyFont="1" applyFill="1" applyAlignment="1" applyProtection="1">
      <alignment horizontal="left" vertical="center" indent="1"/>
      <protection hidden="1"/>
    </xf>
    <xf numFmtId="0" fontId="27" fillId="2" borderId="0" xfId="0" applyFont="1" applyFill="1" applyAlignment="1" applyProtection="1">
      <alignment horizontal="left" vertical="center"/>
      <protection hidden="1"/>
    </xf>
    <xf numFmtId="0" fontId="47" fillId="2" borderId="0" xfId="0" applyFont="1" applyFill="1" applyAlignment="1" applyProtection="1">
      <alignment horizontal="right" vertical="center" indent="3"/>
      <protection hidden="1"/>
    </xf>
    <xf numFmtId="1" fontId="31" fillId="2" borderId="0" xfId="0" applyNumberFormat="1" applyFont="1" applyFill="1" applyAlignment="1" applyProtection="1">
      <alignment horizontal="right" vertical="top" indent="1"/>
      <protection hidden="1"/>
    </xf>
    <xf numFmtId="164" fontId="32" fillId="2" borderId="0" xfId="0" applyNumberFormat="1" applyFont="1" applyFill="1" applyAlignment="1" applyProtection="1">
      <alignment horizontal="left" vertical="top"/>
      <protection hidden="1"/>
    </xf>
    <xf numFmtId="1" fontId="32" fillId="2" borderId="0" xfId="0" applyNumberFormat="1" applyFont="1" applyFill="1" applyAlignment="1" applyProtection="1">
      <alignment horizontal="right" vertical="top" indent="1"/>
      <protection hidden="1"/>
    </xf>
    <xf numFmtId="0" fontId="35" fillId="2" borderId="15" xfId="0" applyFont="1" applyFill="1" applyBorder="1" applyAlignment="1" applyProtection="1">
      <alignment horizontal="centerContinuous" vertical="center"/>
      <protection hidden="1"/>
    </xf>
    <xf numFmtId="0" fontId="11" fillId="2" borderId="0" xfId="0" applyFont="1" applyFill="1" applyAlignment="1" applyProtection="1">
      <alignment horizontal="centerContinuous"/>
      <protection hidden="1"/>
    </xf>
    <xf numFmtId="0" fontId="38" fillId="2" borderId="15" xfId="0" applyFont="1" applyFill="1" applyBorder="1" applyAlignment="1" applyProtection="1">
      <alignment horizontal="centerContinuous"/>
      <protection hidden="1"/>
    </xf>
    <xf numFmtId="0" fontId="11" fillId="2" borderId="15" xfId="0" applyFont="1" applyFill="1" applyBorder="1" applyAlignment="1" applyProtection="1">
      <alignment horizontal="centerContinuous"/>
      <protection hidden="1"/>
    </xf>
    <xf numFmtId="0" fontId="39" fillId="2" borderId="4" xfId="0" applyFont="1" applyFill="1" applyBorder="1" applyProtection="1">
      <protection hidden="1"/>
    </xf>
    <xf numFmtId="0" fontId="15" fillId="7" borderId="16" xfId="0" applyFont="1" applyFill="1" applyBorder="1" applyAlignment="1" applyProtection="1">
      <alignment horizontal="left" vertical="center"/>
      <protection hidden="1"/>
    </xf>
    <xf numFmtId="0" fontId="34" fillId="7" borderId="17" xfId="0" applyFont="1" applyFill="1" applyBorder="1" applyAlignment="1" applyProtection="1">
      <alignment vertical="center"/>
      <protection hidden="1"/>
    </xf>
    <xf numFmtId="0" fontId="15" fillId="7" borderId="16" xfId="0" applyFont="1" applyFill="1" applyBorder="1" applyAlignment="1" applyProtection="1">
      <alignment horizontal="right" vertical="center"/>
      <protection hidden="1"/>
    </xf>
    <xf numFmtId="0" fontId="40" fillId="7" borderId="17" xfId="0" applyFont="1" applyFill="1" applyBorder="1" applyAlignment="1" applyProtection="1">
      <alignment vertical="center"/>
      <protection hidden="1"/>
    </xf>
    <xf numFmtId="0" fontId="11" fillId="7" borderId="17" xfId="0" applyFont="1" applyFill="1" applyBorder="1" applyProtection="1">
      <protection hidden="1"/>
    </xf>
    <xf numFmtId="0" fontId="28" fillId="7" borderId="18" xfId="0" applyFont="1" applyFill="1" applyBorder="1" applyAlignment="1" applyProtection="1">
      <alignment horizontal="right" vertical="center" indent="1"/>
      <protection hidden="1"/>
    </xf>
    <xf numFmtId="0" fontId="39" fillId="2" borderId="4" xfId="0" applyFont="1" applyFill="1" applyBorder="1" applyAlignment="1" applyProtection="1">
      <alignment vertical="center"/>
      <protection hidden="1"/>
    </xf>
    <xf numFmtId="0" fontId="15" fillId="6" borderId="16" xfId="0" applyFont="1" applyFill="1" applyBorder="1" applyAlignment="1" applyProtection="1">
      <alignment horizontal="left" vertical="center"/>
      <protection hidden="1"/>
    </xf>
    <xf numFmtId="0" fontId="34" fillId="6" borderId="17" xfId="0" applyFont="1" applyFill="1" applyBorder="1" applyAlignment="1" applyProtection="1">
      <alignment vertical="center"/>
      <protection hidden="1"/>
    </xf>
    <xf numFmtId="0" fontId="15" fillId="6" borderId="17" xfId="0" applyFont="1" applyFill="1" applyBorder="1" applyAlignment="1" applyProtection="1">
      <alignment horizontal="right" vertical="center"/>
      <protection hidden="1"/>
    </xf>
    <xf numFmtId="0" fontId="28" fillId="6" borderId="18" xfId="0" applyFont="1" applyFill="1" applyBorder="1" applyAlignment="1" applyProtection="1">
      <alignment horizontal="right" vertical="center" indent="1"/>
      <protection hidden="1"/>
    </xf>
    <xf numFmtId="0" fontId="11" fillId="2" borderId="7" xfId="0" applyFont="1" applyFill="1" applyBorder="1" applyProtection="1">
      <protection hidden="1"/>
    </xf>
    <xf numFmtId="0" fontId="11" fillId="2" borderId="22" xfId="0" applyFont="1" applyFill="1" applyBorder="1" applyProtection="1">
      <protection hidden="1"/>
    </xf>
    <xf numFmtId="0" fontId="11" fillId="0" borderId="0" xfId="0" applyFont="1" applyProtection="1">
      <protection hidden="1"/>
    </xf>
    <xf numFmtId="0" fontId="15" fillId="2" borderId="20" xfId="0" applyFont="1" applyFill="1" applyBorder="1" applyAlignment="1" applyProtection="1">
      <alignment horizontal="left" vertical="center" indent="3"/>
      <protection hidden="1"/>
    </xf>
    <xf numFmtId="0" fontId="15" fillId="2" borderId="20" xfId="0" applyFont="1" applyFill="1" applyBorder="1" applyAlignment="1" applyProtection="1">
      <alignment horizontal="center" vertical="center"/>
      <protection hidden="1"/>
    </xf>
    <xf numFmtId="165" fontId="31" fillId="2" borderId="20" xfId="0" applyNumberFormat="1" applyFont="1" applyFill="1" applyBorder="1" applyAlignment="1" applyProtection="1">
      <alignment horizontal="center" vertical="top"/>
      <protection hidden="1"/>
    </xf>
    <xf numFmtId="1" fontId="31" fillId="2" borderId="20" xfId="0" applyNumberFormat="1" applyFont="1" applyFill="1" applyBorder="1" applyAlignment="1" applyProtection="1">
      <alignment horizontal="right" vertical="top" indent="1"/>
      <protection hidden="1"/>
    </xf>
    <xf numFmtId="164" fontId="32" fillId="2" borderId="20" xfId="0" applyNumberFormat="1" applyFont="1" applyFill="1" applyBorder="1" applyAlignment="1" applyProtection="1">
      <alignment horizontal="left" vertical="top"/>
      <protection hidden="1"/>
    </xf>
    <xf numFmtId="1" fontId="32" fillId="2" borderId="20" xfId="0" applyNumberFormat="1" applyFont="1" applyFill="1" applyBorder="1" applyAlignment="1" applyProtection="1">
      <alignment horizontal="right" vertical="top" indent="1"/>
      <protection hidden="1"/>
    </xf>
    <xf numFmtId="0" fontId="11" fillId="2" borderId="21" xfId="0" applyFont="1" applyFill="1" applyBorder="1" applyProtection="1">
      <protection hidden="1"/>
    </xf>
    <xf numFmtId="0" fontId="11" fillId="8" borderId="0" xfId="0" applyFont="1" applyFill="1" applyAlignment="1" applyProtection="1">
      <alignment vertical="center"/>
      <protection hidden="1"/>
    </xf>
    <xf numFmtId="0" fontId="42" fillId="8" borderId="0" xfId="0" applyFont="1" applyFill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Protection="1"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23" fillId="0" borderId="4" xfId="0" applyFont="1" applyBorder="1" applyAlignment="1" applyProtection="1">
      <alignment horizontal="center" vertical="center"/>
      <protection hidden="1"/>
    </xf>
    <xf numFmtId="2" fontId="23" fillId="0" borderId="25" xfId="0" applyNumberFormat="1" applyFont="1" applyBorder="1" applyAlignment="1" applyProtection="1">
      <alignment horizontal="right" vertical="center"/>
      <protection hidden="1"/>
    </xf>
    <xf numFmtId="0" fontId="43" fillId="0" borderId="0" xfId="0" applyFont="1" applyProtection="1">
      <protection hidden="1"/>
    </xf>
    <xf numFmtId="0" fontId="23" fillId="0" borderId="25" xfId="0" applyFont="1" applyBorder="1" applyAlignment="1" applyProtection="1">
      <alignment horizontal="right" vertical="center"/>
      <protection hidden="1"/>
    </xf>
    <xf numFmtId="0" fontId="9" fillId="4" borderId="0" xfId="0" applyFont="1" applyFill="1"/>
    <xf numFmtId="0" fontId="2" fillId="4" borderId="0" xfId="0" applyFont="1" applyFill="1" applyAlignment="1">
      <alignment horizontal="centerContinuous" vertical="center"/>
    </xf>
    <xf numFmtId="0" fontId="1" fillId="4" borderId="0" xfId="0" applyFont="1" applyFill="1" applyAlignment="1">
      <alignment horizontal="centerContinuous" vertical="center"/>
    </xf>
    <xf numFmtId="0" fontId="9" fillId="4" borderId="0" xfId="0" applyFont="1" applyFill="1" applyAlignment="1">
      <alignment horizontal="centerContinuous" vertical="center"/>
    </xf>
    <xf numFmtId="0" fontId="0" fillId="4" borderId="0" xfId="0" applyFill="1"/>
    <xf numFmtId="0" fontId="50" fillId="4" borderId="0" xfId="0" applyFont="1" applyFill="1" applyAlignment="1">
      <alignment horizontal="centerContinuous" vertical="center"/>
    </xf>
    <xf numFmtId="0" fontId="33" fillId="0" borderId="5" xfId="0" applyFont="1" applyBorder="1" applyAlignment="1" applyProtection="1">
      <alignment horizontal="centerContinuous" vertical="top"/>
      <protection hidden="1"/>
    </xf>
    <xf numFmtId="0" fontId="34" fillId="2" borderId="6" xfId="0" applyFont="1" applyFill="1" applyBorder="1" applyAlignment="1" applyProtection="1">
      <alignment horizontal="centerContinuous" vertical="center"/>
      <protection hidden="1"/>
    </xf>
    <xf numFmtId="0" fontId="14" fillId="0" borderId="6" xfId="0" applyFont="1" applyBorder="1" applyAlignment="1" applyProtection="1">
      <alignment horizontal="centerContinuous" vertical="top"/>
      <protection hidden="1"/>
    </xf>
    <xf numFmtId="0" fontId="14" fillId="0" borderId="6" xfId="0" applyFont="1" applyBorder="1" applyAlignment="1" applyProtection="1">
      <alignment horizontal="centerContinuous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47" fillId="2" borderId="0" xfId="0" applyFont="1" applyFill="1" applyAlignment="1" applyProtection="1">
      <alignment horizontal="left" vertical="center"/>
      <protection hidden="1"/>
    </xf>
    <xf numFmtId="0" fontId="55" fillId="2" borderId="6" xfId="0" applyFont="1" applyFill="1" applyBorder="1" applyAlignment="1" applyProtection="1">
      <alignment horizontal="centerContinuous" vertical="center"/>
      <protection hidden="1"/>
    </xf>
    <xf numFmtId="0" fontId="56" fillId="2" borderId="6" xfId="0" applyFont="1" applyFill="1" applyBorder="1" applyAlignment="1" applyProtection="1">
      <alignment horizontal="centerContinuous" vertical="center"/>
      <protection hidden="1"/>
    </xf>
    <xf numFmtId="0" fontId="58" fillId="0" borderId="0" xfId="0" applyFont="1"/>
    <xf numFmtId="169" fontId="27" fillId="0" borderId="12" xfId="0" applyNumberFormat="1" applyFont="1" applyBorder="1" applyAlignment="1" applyProtection="1">
      <alignment horizontal="center" vertical="center"/>
      <protection hidden="1"/>
    </xf>
    <xf numFmtId="0" fontId="15" fillId="6" borderId="5" xfId="0" applyFont="1" applyFill="1" applyBorder="1" applyAlignment="1" applyProtection="1">
      <alignment horizontal="left" vertical="center"/>
      <protection hidden="1"/>
    </xf>
    <xf numFmtId="0" fontId="34" fillId="6" borderId="6" xfId="0" applyFont="1" applyFill="1" applyBorder="1" applyAlignment="1" applyProtection="1">
      <alignment vertical="center"/>
      <protection hidden="1"/>
    </xf>
    <xf numFmtId="0" fontId="15" fillId="7" borderId="5" xfId="0" applyFont="1" applyFill="1" applyBorder="1" applyAlignment="1" applyProtection="1">
      <alignment horizontal="right" vertical="center"/>
      <protection hidden="1"/>
    </xf>
    <xf numFmtId="0" fontId="31" fillId="2" borderId="0" xfId="0" applyFont="1" applyFill="1" applyAlignment="1">
      <alignment horizontal="centerContinuous" vertical="center"/>
    </xf>
    <xf numFmtId="173" fontId="23" fillId="0" borderId="25" xfId="0" applyNumberFormat="1" applyFont="1" applyBorder="1" applyAlignment="1" applyProtection="1">
      <alignment horizontal="center" vertical="center"/>
      <protection hidden="1"/>
    </xf>
    <xf numFmtId="172" fontId="23" fillId="0" borderId="25" xfId="0" applyNumberFormat="1" applyFont="1" applyBorder="1" applyAlignment="1" applyProtection="1">
      <alignment horizontal="center" vertical="center"/>
      <protection hidden="1"/>
    </xf>
    <xf numFmtId="169" fontId="23" fillId="0" borderId="25" xfId="0" applyNumberFormat="1" applyFont="1" applyBorder="1" applyAlignment="1" applyProtection="1">
      <alignment horizontal="center" vertical="center"/>
      <protection hidden="1"/>
    </xf>
    <xf numFmtId="172" fontId="43" fillId="0" borderId="25" xfId="0" applyNumberFormat="1" applyFont="1" applyBorder="1" applyAlignment="1" applyProtection="1">
      <alignment horizontal="center" vertical="center"/>
      <protection hidden="1"/>
    </xf>
    <xf numFmtId="0" fontId="62" fillId="0" borderId="2" xfId="0" applyFont="1" applyBorder="1" applyAlignment="1" applyProtection="1">
      <alignment horizontal="center"/>
      <protection hidden="1"/>
    </xf>
    <xf numFmtId="0" fontId="62" fillId="0" borderId="0" xfId="0" applyFont="1" applyAlignment="1" applyProtection="1">
      <alignment horizontal="center"/>
      <protection hidden="1"/>
    </xf>
    <xf numFmtId="3" fontId="49" fillId="2" borderId="18" xfId="0" applyNumberFormat="1" applyFont="1" applyFill="1" applyBorder="1" applyAlignment="1" applyProtection="1">
      <alignment horizontal="center" vertical="center"/>
      <protection hidden="1"/>
    </xf>
    <xf numFmtId="3" fontId="41" fillId="0" borderId="33" xfId="0" applyNumberFormat="1" applyFont="1" applyBorder="1" applyAlignment="1" applyProtection="1">
      <alignment horizontal="center" vertical="center"/>
      <protection hidden="1"/>
    </xf>
    <xf numFmtId="169" fontId="64" fillId="0" borderId="16" xfId="0" applyNumberFormat="1" applyFont="1" applyBorder="1" applyAlignment="1" applyProtection="1">
      <alignment horizontal="center" vertical="center"/>
      <protection hidden="1"/>
    </xf>
    <xf numFmtId="0" fontId="41" fillId="0" borderId="50" xfId="0" applyFont="1" applyBorder="1" applyAlignment="1" applyProtection="1">
      <alignment horizontal="left" vertical="center" indent="1"/>
      <protection hidden="1"/>
    </xf>
    <xf numFmtId="0" fontId="27" fillId="0" borderId="52" xfId="0" applyFont="1" applyBorder="1" applyAlignment="1" applyProtection="1">
      <alignment horizontal="right" vertical="center"/>
      <protection hidden="1"/>
    </xf>
    <xf numFmtId="3" fontId="27" fillId="0" borderId="53" xfId="0" applyNumberFormat="1" applyFont="1" applyBorder="1" applyAlignment="1" applyProtection="1">
      <alignment horizontal="center" vertical="center"/>
      <protection hidden="1"/>
    </xf>
    <xf numFmtId="3" fontId="27" fillId="0" borderId="54" xfId="0" applyNumberFormat="1" applyFont="1" applyBorder="1" applyAlignment="1" applyProtection="1">
      <alignment horizontal="center" vertical="center"/>
      <protection hidden="1"/>
    </xf>
    <xf numFmtId="3" fontId="27" fillId="5" borderId="31" xfId="0" applyNumberFormat="1" applyFont="1" applyFill="1" applyBorder="1" applyAlignment="1" applyProtection="1">
      <alignment horizontal="center" vertical="center"/>
      <protection locked="0"/>
    </xf>
    <xf numFmtId="0" fontId="27" fillId="0" borderId="54" xfId="0" applyFont="1" applyBorder="1" applyAlignment="1" applyProtection="1">
      <alignment horizontal="left" vertical="center" indent="1"/>
      <protection hidden="1"/>
    </xf>
    <xf numFmtId="3" fontId="27" fillId="0" borderId="22" xfId="0" applyNumberFormat="1" applyFont="1" applyBorder="1" applyAlignment="1" applyProtection="1">
      <alignment horizontal="center" vertical="center"/>
      <protection hidden="1"/>
    </xf>
    <xf numFmtId="3" fontId="27" fillId="0" borderId="9" xfId="0" applyNumberFormat="1" applyFont="1" applyBorder="1" applyAlignment="1" applyProtection="1">
      <alignment horizontal="center" vertical="center"/>
      <protection hidden="1"/>
    </xf>
    <xf numFmtId="0" fontId="27" fillId="0" borderId="56" xfId="0" applyFont="1" applyBorder="1" applyAlignment="1" applyProtection="1">
      <alignment horizontal="right" vertical="center"/>
      <protection hidden="1"/>
    </xf>
    <xf numFmtId="3" fontId="27" fillId="0" borderId="57" xfId="0" applyNumberFormat="1" applyFont="1" applyBorder="1" applyAlignment="1" applyProtection="1">
      <alignment horizontal="center" vertical="center"/>
      <protection hidden="1"/>
    </xf>
    <xf numFmtId="3" fontId="27" fillId="0" borderId="32" xfId="0" applyNumberFormat="1" applyFont="1" applyBorder="1" applyAlignment="1" applyProtection="1">
      <alignment horizontal="center" vertical="center"/>
      <protection hidden="1"/>
    </xf>
    <xf numFmtId="0" fontId="27" fillId="0" borderId="32" xfId="0" applyFont="1" applyBorder="1" applyAlignment="1" applyProtection="1">
      <alignment horizontal="left" vertical="center" indent="1"/>
      <protection hidden="1"/>
    </xf>
    <xf numFmtId="3" fontId="27" fillId="0" borderId="58" xfId="0" applyNumberFormat="1" applyFont="1" applyBorder="1" applyAlignment="1" applyProtection="1">
      <alignment horizontal="center" vertical="center"/>
      <protection hidden="1"/>
    </xf>
    <xf numFmtId="169" fontId="27" fillId="0" borderId="5" xfId="0" applyNumberFormat="1" applyFont="1" applyBorder="1" applyAlignment="1" applyProtection="1">
      <alignment horizontal="center" vertical="center"/>
      <protection hidden="1"/>
    </xf>
    <xf numFmtId="0" fontId="27" fillId="0" borderId="59" xfId="0" applyFont="1" applyBorder="1" applyAlignment="1" applyProtection="1">
      <alignment horizontal="left" vertical="center" indent="1"/>
      <protection hidden="1"/>
    </xf>
    <xf numFmtId="169" fontId="27" fillId="0" borderId="8" xfId="0" applyNumberFormat="1" applyFont="1" applyBorder="1" applyAlignment="1" applyProtection="1">
      <alignment horizontal="center" vertical="center"/>
      <protection hidden="1"/>
    </xf>
    <xf numFmtId="3" fontId="27" fillId="0" borderId="60" xfId="0" applyNumberFormat="1" applyFont="1" applyBorder="1" applyAlignment="1" applyProtection="1">
      <alignment horizontal="center" vertical="center"/>
      <protection hidden="1"/>
    </xf>
    <xf numFmtId="0" fontId="27" fillId="0" borderId="61" xfId="0" applyFont="1" applyBorder="1" applyAlignment="1" applyProtection="1">
      <alignment horizontal="left" vertical="center" indent="1"/>
      <protection hidden="1"/>
    </xf>
    <xf numFmtId="0" fontId="11" fillId="2" borderId="19" xfId="0" applyFont="1" applyFill="1" applyBorder="1" applyProtection="1">
      <protection hidden="1"/>
    </xf>
    <xf numFmtId="0" fontId="11" fillId="2" borderId="20" xfId="0" applyFont="1" applyFill="1" applyBorder="1" applyProtection="1">
      <protection hidden="1"/>
    </xf>
    <xf numFmtId="0" fontId="15" fillId="6" borderId="19" xfId="0" applyFont="1" applyFill="1" applyBorder="1" applyAlignment="1" applyProtection="1">
      <alignment horizontal="left"/>
      <protection hidden="1"/>
    </xf>
    <xf numFmtId="0" fontId="15" fillId="6" borderId="20" xfId="0" applyFont="1" applyFill="1" applyBorder="1" applyAlignment="1" applyProtection="1">
      <alignment horizontal="left"/>
      <protection hidden="1"/>
    </xf>
    <xf numFmtId="0" fontId="15" fillId="7" borderId="20" xfId="0" applyFont="1" applyFill="1" applyBorder="1" applyAlignment="1" applyProtection="1">
      <alignment horizontal="left"/>
      <protection hidden="1"/>
    </xf>
    <xf numFmtId="0" fontId="59" fillId="7" borderId="19" xfId="0" applyFont="1" applyFill="1" applyBorder="1" applyAlignment="1" applyProtection="1">
      <alignment horizontal="right"/>
      <protection hidden="1"/>
    </xf>
    <xf numFmtId="0" fontId="22" fillId="5" borderId="31" xfId="0" applyFont="1" applyFill="1" applyBorder="1" applyAlignment="1" applyProtection="1">
      <alignment horizontal="center" vertical="center"/>
      <protection locked="0"/>
    </xf>
    <xf numFmtId="0" fontId="22" fillId="0" borderId="61" xfId="0" applyFont="1" applyBorder="1" applyAlignment="1" applyProtection="1">
      <alignment horizontal="left" vertical="center" indent="1"/>
      <protection hidden="1"/>
    </xf>
    <xf numFmtId="169" fontId="22" fillId="0" borderId="13" xfId="0" applyNumberFormat="1" applyFont="1" applyBorder="1" applyAlignment="1" applyProtection="1">
      <alignment horizontal="center" vertical="center"/>
      <protection hidden="1"/>
    </xf>
    <xf numFmtId="3" fontId="22" fillId="0" borderId="23" xfId="0" applyNumberFormat="1" applyFont="1" applyBorder="1" applyAlignment="1" applyProtection="1">
      <alignment horizontal="center" vertical="center"/>
      <protection hidden="1"/>
    </xf>
    <xf numFmtId="3" fontId="22" fillId="0" borderId="60" xfId="0" applyNumberFormat="1" applyFont="1" applyBorder="1" applyAlignment="1" applyProtection="1">
      <alignment horizontal="center" vertical="center"/>
      <protection hidden="1"/>
    </xf>
    <xf numFmtId="0" fontId="35" fillId="0" borderId="62" xfId="0" applyFont="1" applyBorder="1" applyAlignment="1" applyProtection="1">
      <alignment horizontal="center" vertical="center" wrapText="1"/>
      <protection hidden="1"/>
    </xf>
    <xf numFmtId="0" fontId="45" fillId="0" borderId="63" xfId="0" applyFont="1" applyBorder="1" applyAlignment="1" applyProtection="1">
      <alignment horizontal="center" vertical="center" wrapText="1"/>
      <protection hidden="1"/>
    </xf>
    <xf numFmtId="0" fontId="45" fillId="0" borderId="64" xfId="0" applyFont="1" applyBorder="1" applyAlignment="1" applyProtection="1">
      <alignment horizontal="center" vertical="center" wrapText="1"/>
      <protection hidden="1"/>
    </xf>
    <xf numFmtId="0" fontId="31" fillId="2" borderId="42" xfId="0" applyFont="1" applyFill="1" applyBorder="1" applyAlignment="1" applyProtection="1">
      <alignment horizontal="center" vertical="center" wrapText="1"/>
      <protection hidden="1"/>
    </xf>
    <xf numFmtId="3" fontId="40" fillId="0" borderId="9" xfId="0" applyNumberFormat="1" applyFont="1" applyBorder="1" applyAlignment="1" applyProtection="1">
      <alignment horizontal="center" vertical="center"/>
      <protection hidden="1"/>
    </xf>
    <xf numFmtId="3" fontId="40" fillId="0" borderId="51" xfId="0" applyNumberFormat="1" applyFont="1" applyBorder="1" applyAlignment="1" applyProtection="1">
      <alignment horizontal="center" vertical="center"/>
      <protection hidden="1"/>
    </xf>
    <xf numFmtId="0" fontId="4" fillId="0" borderId="51" xfId="0" applyFont="1" applyBorder="1" applyAlignment="1">
      <alignment vertical="center"/>
    </xf>
    <xf numFmtId="170" fontId="11" fillId="8" borderId="0" xfId="0" applyNumberFormat="1" applyFont="1" applyFill="1" applyAlignment="1" applyProtection="1">
      <alignment horizontal="center"/>
      <protection hidden="1"/>
    </xf>
    <xf numFmtId="171" fontId="11" fillId="8" borderId="0" xfId="0" applyNumberFormat="1" applyFont="1" applyFill="1" applyAlignment="1" applyProtection="1">
      <alignment horizontal="center"/>
      <protection hidden="1"/>
    </xf>
    <xf numFmtId="0" fontId="52" fillId="8" borderId="24" xfId="0" applyFont="1" applyFill="1" applyBorder="1" applyAlignment="1">
      <alignment vertical="top"/>
    </xf>
    <xf numFmtId="0" fontId="27" fillId="8" borderId="24" xfId="0" applyFont="1" applyFill="1" applyBorder="1" applyAlignment="1" applyProtection="1">
      <alignment horizontal="center"/>
      <protection hidden="1"/>
    </xf>
    <xf numFmtId="0" fontId="11" fillId="8" borderId="24" xfId="0" applyFont="1" applyFill="1" applyBorder="1" applyProtection="1">
      <protection hidden="1"/>
    </xf>
    <xf numFmtId="0" fontId="39" fillId="0" borderId="0" xfId="0" applyFont="1"/>
    <xf numFmtId="0" fontId="25" fillId="8" borderId="0" xfId="0" applyFont="1" applyFill="1" applyAlignment="1" applyProtection="1">
      <alignment horizontal="left"/>
      <protection hidden="1"/>
    </xf>
    <xf numFmtId="0" fontId="25" fillId="8" borderId="0" xfId="0" applyFont="1" applyFill="1" applyAlignment="1" applyProtection="1">
      <alignment horizontal="right"/>
      <protection hidden="1"/>
    </xf>
    <xf numFmtId="14" fontId="25" fillId="8" borderId="0" xfId="0" applyNumberFormat="1" applyFont="1" applyFill="1" applyAlignment="1" applyProtection="1">
      <alignment horizontal="left"/>
      <protection hidden="1"/>
    </xf>
    <xf numFmtId="0" fontId="65" fillId="8" borderId="0" xfId="0" applyFont="1" applyFill="1" applyProtection="1">
      <protection hidden="1"/>
    </xf>
    <xf numFmtId="0" fontId="65" fillId="0" borderId="0" xfId="0" applyFont="1"/>
    <xf numFmtId="174" fontId="22" fillId="0" borderId="59" xfId="0" applyNumberFormat="1" applyFont="1" applyBorder="1" applyAlignment="1" applyProtection="1">
      <alignment horizontal="center" vertical="center"/>
      <protection hidden="1"/>
    </xf>
    <xf numFmtId="177" fontId="27" fillId="2" borderId="65" xfId="0" applyNumberFormat="1" applyFont="1" applyFill="1" applyBorder="1" applyAlignment="1" applyProtection="1">
      <alignment horizontal="left" vertical="center"/>
      <protection hidden="1"/>
    </xf>
    <xf numFmtId="2" fontId="23" fillId="0" borderId="11" xfId="0" applyNumberFormat="1" applyFont="1" applyBorder="1" applyAlignment="1" applyProtection="1">
      <alignment horizontal="right" vertical="center"/>
      <protection hidden="1"/>
    </xf>
    <xf numFmtId="172" fontId="23" fillId="0" borderId="11" xfId="0" applyNumberFormat="1" applyFont="1" applyBorder="1" applyAlignment="1" applyProtection="1">
      <alignment horizontal="center" vertical="center"/>
      <protection hidden="1"/>
    </xf>
    <xf numFmtId="0" fontId="23" fillId="0" borderId="13" xfId="0" applyFont="1" applyBorder="1" applyAlignment="1" applyProtection="1">
      <alignment horizontal="right" vertical="center"/>
      <protection hidden="1"/>
    </xf>
    <xf numFmtId="172" fontId="23" fillId="0" borderId="13" xfId="0" applyNumberFormat="1" applyFont="1" applyBorder="1" applyAlignment="1" applyProtection="1">
      <alignment horizontal="center" vertical="center"/>
      <protection hidden="1"/>
    </xf>
    <xf numFmtId="0" fontId="23" fillId="0" borderId="66" xfId="0" applyFont="1" applyBorder="1" applyAlignment="1" applyProtection="1">
      <alignment horizontal="right" vertical="center"/>
      <protection hidden="1"/>
    </xf>
    <xf numFmtId="172" fontId="23" fillId="0" borderId="67" xfId="0" applyNumberFormat="1" applyFont="1" applyBorder="1" applyAlignment="1" applyProtection="1">
      <alignment horizontal="center" vertical="center"/>
      <protection hidden="1"/>
    </xf>
    <xf numFmtId="0" fontId="23" fillId="0" borderId="59" xfId="0" applyFont="1" applyBorder="1" applyAlignment="1" applyProtection="1">
      <alignment horizontal="right" vertical="center"/>
      <protection hidden="1"/>
    </xf>
    <xf numFmtId="172" fontId="23" fillId="0" borderId="58" xfId="0" applyNumberFormat="1" applyFont="1" applyBorder="1" applyAlignment="1" applyProtection="1">
      <alignment horizontal="center" vertical="center"/>
      <protection hidden="1"/>
    </xf>
    <xf numFmtId="0" fontId="23" fillId="0" borderId="68" xfId="0" applyFont="1" applyBorder="1" applyAlignment="1" applyProtection="1">
      <alignment horizontal="right" vertical="center"/>
      <protection hidden="1"/>
    </xf>
    <xf numFmtId="172" fontId="23" fillId="0" borderId="14" xfId="0" applyNumberFormat="1" applyFont="1" applyBorder="1" applyAlignment="1" applyProtection="1">
      <alignment horizontal="center" vertical="center"/>
      <protection hidden="1"/>
    </xf>
    <xf numFmtId="0" fontId="45" fillId="2" borderId="35" xfId="0" applyFont="1" applyFill="1" applyBorder="1" applyAlignment="1" applyProtection="1">
      <alignment horizontal="center" vertical="center"/>
      <protection hidden="1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54" fillId="2" borderId="40" xfId="0" applyFont="1" applyFill="1" applyBorder="1" applyAlignment="1" applyProtection="1">
      <alignment horizontal="center" vertical="center" wrapText="1"/>
      <protection hidden="1"/>
    </xf>
    <xf numFmtId="0" fontId="11" fillId="2" borderId="0" xfId="0" applyFont="1" applyFill="1" applyAlignment="1">
      <alignment vertical="center"/>
    </xf>
    <xf numFmtId="0" fontId="11" fillId="2" borderId="66" xfId="0" applyFont="1" applyFill="1" applyBorder="1" applyAlignment="1">
      <alignment vertical="center"/>
    </xf>
    <xf numFmtId="0" fontId="11" fillId="2" borderId="34" xfId="0" applyFont="1" applyFill="1" applyBorder="1" applyAlignment="1">
      <alignment vertical="center"/>
    </xf>
    <xf numFmtId="0" fontId="11" fillId="2" borderId="59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11" fillId="2" borderId="0" xfId="0" applyFont="1" applyFill="1" applyAlignment="1">
      <alignment horizontal="centerContinuous" vertical="center"/>
    </xf>
    <xf numFmtId="164" fontId="31" fillId="2" borderId="0" xfId="0" applyNumberFormat="1" applyFont="1" applyFill="1" applyAlignment="1">
      <alignment horizontal="left" vertical="center"/>
    </xf>
    <xf numFmtId="0" fontId="59" fillId="2" borderId="0" xfId="0" applyFont="1" applyFill="1" applyAlignment="1">
      <alignment horizontal="right" vertical="center"/>
    </xf>
    <xf numFmtId="176" fontId="31" fillId="2" borderId="35" xfId="0" applyNumberFormat="1" applyFont="1" applyFill="1" applyBorder="1" applyAlignment="1" applyProtection="1">
      <alignment horizontal="center" vertical="center"/>
      <protection hidden="1"/>
    </xf>
    <xf numFmtId="176" fontId="11" fillId="2" borderId="40" xfId="0" applyNumberFormat="1" applyFont="1" applyFill="1" applyBorder="1" applyAlignment="1" applyProtection="1">
      <alignment horizontal="center" vertical="center"/>
      <protection hidden="1"/>
    </xf>
    <xf numFmtId="176" fontId="59" fillId="2" borderId="40" xfId="0" applyNumberFormat="1" applyFont="1" applyFill="1" applyBorder="1" applyAlignment="1" applyProtection="1">
      <alignment horizontal="center" vertical="center"/>
      <protection hidden="1"/>
    </xf>
    <xf numFmtId="176" fontId="31" fillId="2" borderId="38" xfId="0" applyNumberFormat="1" applyFont="1" applyFill="1" applyBorder="1" applyAlignment="1" applyProtection="1">
      <alignment horizontal="center" vertical="center"/>
      <protection hidden="1"/>
    </xf>
    <xf numFmtId="176" fontId="11" fillId="2" borderId="38" xfId="0" applyNumberFormat="1" applyFont="1" applyFill="1" applyBorder="1" applyAlignment="1" applyProtection="1">
      <alignment horizontal="center" vertical="center"/>
      <protection hidden="1"/>
    </xf>
    <xf numFmtId="0" fontId="11" fillId="2" borderId="69" xfId="0" applyFont="1" applyFill="1" applyBorder="1" applyAlignment="1">
      <alignment vertical="center"/>
    </xf>
    <xf numFmtId="0" fontId="11" fillId="2" borderId="72" xfId="0" applyFont="1" applyFill="1" applyBorder="1" applyAlignment="1">
      <alignment vertical="center"/>
    </xf>
    <xf numFmtId="0" fontId="11" fillId="2" borderId="27" xfId="0" applyFont="1" applyFill="1" applyBorder="1" applyAlignment="1">
      <alignment vertical="center"/>
    </xf>
    <xf numFmtId="0" fontId="31" fillId="2" borderId="0" xfId="0" applyFont="1" applyFill="1" applyAlignment="1">
      <alignment horizontal="left" vertical="center"/>
    </xf>
    <xf numFmtId="0" fontId="31" fillId="2" borderId="27" xfId="0" applyFont="1" applyFill="1" applyBorder="1" applyAlignment="1">
      <alignment horizontal="left" vertical="center"/>
    </xf>
    <xf numFmtId="1" fontId="31" fillId="2" borderId="0" xfId="0" applyNumberFormat="1" applyFont="1" applyFill="1" applyAlignment="1">
      <alignment horizontal="right" vertical="center"/>
    </xf>
    <xf numFmtId="1" fontId="31" fillId="2" borderId="0" xfId="0" applyNumberFormat="1" applyFont="1" applyFill="1" applyAlignment="1">
      <alignment horizontal="left" vertical="center"/>
    </xf>
    <xf numFmtId="1" fontId="31" fillId="2" borderId="27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Continuous" vertical="center"/>
    </xf>
    <xf numFmtId="1" fontId="31" fillId="2" borderId="27" xfId="0" applyNumberFormat="1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horizontal="right" vertical="center"/>
    </xf>
    <xf numFmtId="1" fontId="11" fillId="2" borderId="27" xfId="0" applyNumberFormat="1" applyFont="1" applyFill="1" applyBorder="1" applyAlignment="1">
      <alignment horizontal="right" vertical="center"/>
    </xf>
    <xf numFmtId="0" fontId="11" fillId="2" borderId="73" xfId="0" applyFont="1" applyFill="1" applyBorder="1" applyAlignment="1">
      <alignment vertical="center"/>
    </xf>
    <xf numFmtId="0" fontId="11" fillId="2" borderId="28" xfId="0" applyFont="1" applyFill="1" applyBorder="1" applyAlignment="1" applyProtection="1">
      <alignment vertical="center"/>
      <protection hidden="1"/>
    </xf>
    <xf numFmtId="0" fontId="11" fillId="2" borderId="28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173" fontId="23" fillId="0" borderId="10" xfId="0" applyNumberFormat="1" applyFont="1" applyBorder="1" applyAlignment="1" applyProtection="1">
      <alignment horizontal="center" vertical="center"/>
      <protection hidden="1"/>
    </xf>
    <xf numFmtId="4" fontId="23" fillId="0" borderId="8" xfId="0" applyNumberFormat="1" applyFont="1" applyBorder="1" applyAlignment="1" applyProtection="1">
      <alignment horizontal="center" vertical="center"/>
      <protection hidden="1"/>
    </xf>
    <xf numFmtId="180" fontId="43" fillId="0" borderId="25" xfId="1" applyNumberFormat="1" applyFont="1" applyBorder="1" applyAlignment="1" applyProtection="1">
      <alignment horizontal="center" vertical="center"/>
      <protection hidden="1"/>
    </xf>
    <xf numFmtId="180" fontId="23" fillId="0" borderId="25" xfId="1" applyNumberFormat="1" applyFont="1" applyBorder="1" applyAlignment="1" applyProtection="1">
      <alignment horizontal="center" vertical="center"/>
      <protection hidden="1"/>
    </xf>
    <xf numFmtId="180" fontId="23" fillId="0" borderId="11" xfId="1" applyNumberFormat="1" applyFont="1" applyBorder="1" applyAlignment="1" applyProtection="1">
      <alignment horizontal="center" vertical="center"/>
      <protection hidden="1"/>
    </xf>
    <xf numFmtId="180" fontId="23" fillId="0" borderId="34" xfId="1" applyNumberFormat="1" applyFont="1" applyBorder="1" applyAlignment="1" applyProtection="1">
      <alignment horizontal="center" vertical="center"/>
      <protection hidden="1"/>
    </xf>
    <xf numFmtId="180" fontId="23" fillId="0" borderId="33" xfId="1" applyNumberFormat="1" applyFont="1" applyBorder="1" applyAlignment="1" applyProtection="1">
      <alignment horizontal="center" vertical="center"/>
      <protection hidden="1"/>
    </xf>
    <xf numFmtId="180" fontId="23" fillId="0" borderId="13" xfId="1" applyNumberFormat="1" applyFont="1" applyBorder="1" applyAlignment="1" applyProtection="1">
      <alignment vertical="center"/>
      <protection hidden="1"/>
    </xf>
    <xf numFmtId="4" fontId="22" fillId="0" borderId="13" xfId="0" applyNumberFormat="1" applyFont="1" applyBorder="1" applyAlignment="1" applyProtection="1">
      <alignment horizontal="center" vertical="center"/>
      <protection hidden="1"/>
    </xf>
    <xf numFmtId="4" fontId="27" fillId="0" borderId="3" xfId="0" applyNumberFormat="1" applyFont="1" applyBorder="1" applyAlignment="1" applyProtection="1">
      <alignment horizontal="center" vertical="center"/>
      <protection hidden="1"/>
    </xf>
    <xf numFmtId="4" fontId="27" fillId="0" borderId="1" xfId="0" applyNumberFormat="1" applyFont="1" applyBorder="1" applyAlignment="1" applyProtection="1">
      <alignment horizontal="center" vertical="center"/>
      <protection hidden="1"/>
    </xf>
    <xf numFmtId="4" fontId="27" fillId="0" borderId="25" xfId="0" applyNumberFormat="1" applyFont="1" applyBorder="1" applyAlignment="1" applyProtection="1">
      <alignment horizontal="center" vertical="center"/>
      <protection hidden="1"/>
    </xf>
    <xf numFmtId="4" fontId="27" fillId="0" borderId="23" xfId="0" applyNumberFormat="1" applyFont="1" applyBorder="1" applyAlignment="1" applyProtection="1">
      <alignment horizontal="center" vertical="center"/>
      <protection hidden="1"/>
    </xf>
    <xf numFmtId="4" fontId="40" fillId="0" borderId="9" xfId="0" applyNumberFormat="1" applyFont="1" applyBorder="1" applyAlignment="1" applyProtection="1">
      <alignment horizontal="center" vertical="center"/>
      <protection hidden="1"/>
    </xf>
    <xf numFmtId="4" fontId="27" fillId="0" borderId="0" xfId="0" applyNumberFormat="1" applyFont="1" applyAlignment="1" applyProtection="1">
      <alignment horizontal="center" vertical="center"/>
      <protection hidden="1"/>
    </xf>
    <xf numFmtId="4" fontId="27" fillId="0" borderId="34" xfId="0" applyNumberFormat="1" applyFont="1" applyBorder="1" applyAlignment="1" applyProtection="1">
      <alignment horizontal="center" vertical="center"/>
      <protection hidden="1"/>
    </xf>
    <xf numFmtId="4" fontId="4" fillId="0" borderId="9" xfId="0" applyNumberFormat="1" applyFont="1" applyBorder="1" applyAlignment="1">
      <alignment vertical="center"/>
    </xf>
    <xf numFmtId="4" fontId="49" fillId="0" borderId="33" xfId="0" applyNumberFormat="1" applyFont="1" applyBorder="1" applyAlignment="1" applyProtection="1">
      <alignment horizontal="center" vertical="center"/>
      <protection hidden="1"/>
    </xf>
    <xf numFmtId="9" fontId="23" fillId="0" borderId="25" xfId="0" applyNumberFormat="1" applyFont="1" applyBorder="1" applyAlignment="1" applyProtection="1">
      <alignment horizontal="right" vertical="center"/>
      <protection hidden="1"/>
    </xf>
    <xf numFmtId="0" fontId="11" fillId="2" borderId="66" xfId="0" applyFont="1" applyFill="1" applyBorder="1" applyAlignment="1">
      <alignment horizontal="left" vertical="center"/>
    </xf>
    <xf numFmtId="0" fontId="67" fillId="2" borderId="68" xfId="0" applyFont="1" applyFill="1" applyBorder="1" applyAlignment="1">
      <alignment horizontal="left" vertical="center"/>
    </xf>
    <xf numFmtId="0" fontId="67" fillId="2" borderId="33" xfId="0" applyFont="1" applyFill="1" applyBorder="1" applyAlignment="1">
      <alignment horizontal="left" vertical="center"/>
    </xf>
    <xf numFmtId="0" fontId="68" fillId="2" borderId="33" xfId="0" applyFont="1" applyFill="1" applyBorder="1" applyAlignment="1">
      <alignment vertical="center"/>
    </xf>
    <xf numFmtId="0" fontId="69" fillId="0" borderId="0" xfId="0" applyFont="1" applyAlignment="1" applyProtection="1">
      <alignment horizontal="centerContinuous" vertical="center"/>
      <protection hidden="1"/>
    </xf>
    <xf numFmtId="0" fontId="70" fillId="0" borderId="0" xfId="0" applyFont="1" applyAlignment="1" applyProtection="1">
      <alignment horizontal="centerContinuous" vertical="top"/>
      <protection hidden="1"/>
    </xf>
    <xf numFmtId="0" fontId="70" fillId="0" borderId="0" xfId="0" applyFont="1" applyAlignment="1" applyProtection="1">
      <alignment horizontal="centerContinuous" vertical="center"/>
      <protection hidden="1"/>
    </xf>
    <xf numFmtId="0" fontId="71" fillId="2" borderId="5" xfId="0" applyFont="1" applyFill="1" applyBorder="1" applyProtection="1">
      <protection hidden="1"/>
    </xf>
    <xf numFmtId="0" fontId="72" fillId="2" borderId="6" xfId="0" applyFont="1" applyFill="1" applyBorder="1" applyProtection="1">
      <protection hidden="1"/>
    </xf>
    <xf numFmtId="0" fontId="73" fillId="2" borderId="6" xfId="0" applyFont="1" applyFill="1" applyBorder="1" applyProtection="1">
      <protection hidden="1"/>
    </xf>
    <xf numFmtId="0" fontId="71" fillId="2" borderId="4" xfId="0" applyFont="1" applyFill="1" applyBorder="1" applyProtection="1">
      <protection hidden="1"/>
    </xf>
    <xf numFmtId="0" fontId="76" fillId="2" borderId="5" xfId="0" applyFont="1" applyFill="1" applyBorder="1" applyAlignment="1" applyProtection="1">
      <alignment horizontal="centerContinuous" vertical="center"/>
      <protection hidden="1"/>
    </xf>
    <xf numFmtId="0" fontId="50" fillId="2" borderId="6" xfId="0" applyFont="1" applyFill="1" applyBorder="1" applyAlignment="1" applyProtection="1">
      <alignment horizontal="centerContinuous" vertical="center"/>
      <protection hidden="1"/>
    </xf>
    <xf numFmtId="0" fontId="50" fillId="2" borderId="6" xfId="0" applyFont="1" applyFill="1" applyBorder="1" applyAlignment="1" applyProtection="1">
      <alignment horizontal="centerContinuous"/>
      <protection hidden="1"/>
    </xf>
    <xf numFmtId="0" fontId="73" fillId="2" borderId="29" xfId="0" applyFont="1" applyFill="1" applyBorder="1" applyAlignment="1" applyProtection="1">
      <alignment horizontal="centerContinuous"/>
      <protection hidden="1"/>
    </xf>
    <xf numFmtId="183" fontId="0" fillId="0" borderId="0" xfId="0" applyNumberFormat="1"/>
    <xf numFmtId="187" fontId="80" fillId="0" borderId="0" xfId="0" applyNumberFormat="1" applyFont="1" applyAlignment="1">
      <alignment horizontal="left" vertical="center"/>
    </xf>
    <xf numFmtId="0" fontId="50" fillId="2" borderId="28" xfId="0" applyFont="1" applyFill="1" applyBorder="1" applyAlignment="1" applyProtection="1">
      <alignment horizontal="centerContinuous"/>
      <protection hidden="1"/>
    </xf>
    <xf numFmtId="0" fontId="83" fillId="0" borderId="28" xfId="0" applyFont="1" applyBorder="1" applyAlignment="1" applyProtection="1">
      <alignment horizontal="centerContinuous"/>
      <protection hidden="1"/>
    </xf>
    <xf numFmtId="0" fontId="85" fillId="2" borderId="77" xfId="0" applyFont="1" applyFill="1" applyBorder="1" applyAlignment="1" applyProtection="1">
      <alignment horizontal="centerContinuous"/>
      <protection hidden="1"/>
    </xf>
    <xf numFmtId="0" fontId="71" fillId="2" borderId="77" xfId="0" applyFont="1" applyFill="1" applyBorder="1" applyAlignment="1" applyProtection="1">
      <alignment horizontal="centerContinuous"/>
      <protection hidden="1"/>
    </xf>
    <xf numFmtId="0" fontId="71" fillId="2" borderId="78" xfId="0" applyFont="1" applyFill="1" applyBorder="1" applyAlignment="1" applyProtection="1">
      <alignment horizontal="centerContinuous"/>
      <protection hidden="1"/>
    </xf>
    <xf numFmtId="0" fontId="71" fillId="2" borderId="24" xfId="0" applyFont="1" applyFill="1" applyBorder="1" applyAlignment="1" applyProtection="1">
      <alignment horizontal="centerContinuous" vertical="center"/>
      <protection hidden="1"/>
    </xf>
    <xf numFmtId="0" fontId="71" fillId="2" borderId="77" xfId="0" applyFont="1" applyFill="1" applyBorder="1" applyAlignment="1" applyProtection="1">
      <alignment horizontal="centerContinuous" vertical="center"/>
      <protection hidden="1"/>
    </xf>
    <xf numFmtId="0" fontId="71" fillId="2" borderId="78" xfId="0" applyFont="1" applyFill="1" applyBorder="1" applyAlignment="1" applyProtection="1">
      <alignment horizontal="centerContinuous" vertical="center"/>
      <protection hidden="1"/>
    </xf>
    <xf numFmtId="0" fontId="85" fillId="2" borderId="79" xfId="0" applyFont="1" applyFill="1" applyBorder="1" applyAlignment="1" applyProtection="1">
      <alignment horizontal="centerContinuous" vertical="top"/>
      <protection hidden="1"/>
    </xf>
    <xf numFmtId="0" fontId="71" fillId="2" borderId="79" xfId="0" applyFont="1" applyFill="1" applyBorder="1" applyProtection="1">
      <protection hidden="1"/>
    </xf>
    <xf numFmtId="0" fontId="71" fillId="2" borderId="21" xfId="0" applyFont="1" applyFill="1" applyBorder="1" applyProtection="1">
      <protection hidden="1"/>
    </xf>
    <xf numFmtId="0" fontId="71" fillId="2" borderId="80" xfId="0" applyFont="1" applyFill="1" applyBorder="1" applyAlignment="1" applyProtection="1">
      <alignment horizontal="centerContinuous" vertical="center"/>
      <protection hidden="1"/>
    </xf>
    <xf numFmtId="0" fontId="71" fillId="2" borderId="81" xfId="0" applyFont="1" applyFill="1" applyBorder="1" applyAlignment="1" applyProtection="1">
      <alignment horizontal="centerContinuous" vertical="center"/>
      <protection hidden="1"/>
    </xf>
    <xf numFmtId="0" fontId="71" fillId="2" borderId="82" xfId="0" applyFont="1" applyFill="1" applyBorder="1" applyAlignment="1" applyProtection="1">
      <alignment horizontal="centerContinuous" vertical="center"/>
      <protection hidden="1"/>
    </xf>
    <xf numFmtId="0" fontId="86" fillId="2" borderId="54" xfId="0" applyFont="1" applyFill="1" applyBorder="1" applyAlignment="1" applyProtection="1">
      <alignment horizontal="center" vertical="top"/>
      <protection hidden="1"/>
    </xf>
    <xf numFmtId="165" fontId="86" fillId="2" borderId="53" xfId="0" applyNumberFormat="1" applyFont="1" applyFill="1" applyBorder="1" applyAlignment="1" applyProtection="1">
      <alignment horizontal="left" vertical="top"/>
      <protection hidden="1"/>
    </xf>
    <xf numFmtId="0" fontId="88" fillId="2" borderId="32" xfId="0" applyFont="1" applyFill="1" applyBorder="1" applyAlignment="1" applyProtection="1">
      <alignment horizontal="centerContinuous" vertical="center"/>
      <protection hidden="1"/>
    </xf>
    <xf numFmtId="0" fontId="88" fillId="2" borderId="22" xfId="0" applyFont="1" applyFill="1" applyBorder="1" applyAlignment="1" applyProtection="1">
      <alignment horizontal="centerContinuous" vertical="center"/>
      <protection hidden="1"/>
    </xf>
    <xf numFmtId="0" fontId="86" fillId="2" borderId="52" xfId="0" applyFont="1" applyFill="1" applyBorder="1" applyAlignment="1" applyProtection="1">
      <alignment horizontal="center" vertical="top"/>
      <protection hidden="1"/>
    </xf>
    <xf numFmtId="165" fontId="86" fillId="2" borderId="51" xfId="0" applyNumberFormat="1" applyFont="1" applyFill="1" applyBorder="1" applyAlignment="1" applyProtection="1">
      <alignment horizontal="left" vertical="top"/>
      <protection hidden="1"/>
    </xf>
    <xf numFmtId="0" fontId="86" fillId="2" borderId="56" xfId="0" applyFont="1" applyFill="1" applyBorder="1" applyAlignment="1" applyProtection="1">
      <alignment horizontal="center" vertical="top"/>
      <protection hidden="1"/>
    </xf>
    <xf numFmtId="165" fontId="86" fillId="2" borderId="7" xfId="0" applyNumberFormat="1" applyFont="1" applyFill="1" applyBorder="1" applyAlignment="1" applyProtection="1">
      <alignment horizontal="left" vertical="top"/>
      <protection hidden="1"/>
    </xf>
    <xf numFmtId="0" fontId="71" fillId="2" borderId="79" xfId="0" applyFont="1" applyFill="1" applyBorder="1" applyAlignment="1" applyProtection="1">
      <alignment horizontal="centerContinuous" vertical="center"/>
      <protection hidden="1"/>
    </xf>
    <xf numFmtId="0" fontId="71" fillId="2" borderId="21" xfId="0" applyFont="1" applyFill="1" applyBorder="1" applyAlignment="1" applyProtection="1">
      <alignment horizontal="centerContinuous" vertical="center"/>
      <protection hidden="1"/>
    </xf>
    <xf numFmtId="0" fontId="86" fillId="2" borderId="50" xfId="0" applyFont="1" applyFill="1" applyBorder="1" applyAlignment="1" applyProtection="1">
      <alignment horizontal="center" vertical="top"/>
      <protection hidden="1"/>
    </xf>
    <xf numFmtId="165" fontId="86" fillId="2" borderId="18" xfId="0" applyNumberFormat="1" applyFont="1" applyFill="1" applyBorder="1" applyAlignment="1" applyProtection="1">
      <alignment horizontal="left" vertical="top"/>
      <protection hidden="1"/>
    </xf>
    <xf numFmtId="0" fontId="71" fillId="2" borderId="0" xfId="0" applyFont="1" applyFill="1" applyProtection="1">
      <protection hidden="1"/>
    </xf>
    <xf numFmtId="1" fontId="87" fillId="2" borderId="80" xfId="0" applyNumberFormat="1" applyFont="1" applyFill="1" applyBorder="1" applyAlignment="1" applyProtection="1">
      <alignment horizontal="center" vertical="center"/>
      <protection hidden="1"/>
    </xf>
    <xf numFmtId="164" fontId="87" fillId="2" borderId="82" xfId="0" applyNumberFormat="1" applyFont="1" applyFill="1" applyBorder="1" applyAlignment="1" applyProtection="1">
      <alignment horizontal="left" vertical="center"/>
      <protection hidden="1"/>
    </xf>
    <xf numFmtId="164" fontId="87" fillId="2" borderId="82" xfId="0" applyNumberFormat="1" applyFont="1" applyFill="1" applyBorder="1" applyAlignment="1" applyProtection="1">
      <alignment horizontal="left" vertical="center" indent="1"/>
      <protection hidden="1"/>
    </xf>
    <xf numFmtId="0" fontId="71" fillId="2" borderId="80" xfId="0" applyFont="1" applyFill="1" applyBorder="1" applyAlignment="1" applyProtection="1">
      <alignment horizontal="left" vertical="center"/>
      <protection hidden="1"/>
    </xf>
    <xf numFmtId="0" fontId="71" fillId="2" borderId="81" xfId="0" applyFont="1" applyFill="1" applyBorder="1" applyAlignment="1" applyProtection="1">
      <alignment horizontal="left" vertical="center"/>
      <protection hidden="1"/>
    </xf>
    <xf numFmtId="0" fontId="71" fillId="2" borderId="81" xfId="0" applyFont="1" applyFill="1" applyBorder="1" applyAlignment="1" applyProtection="1">
      <alignment horizontal="left" vertical="center" indent="1"/>
      <protection hidden="1"/>
    </xf>
    <xf numFmtId="0" fontId="71" fillId="2" borderId="82" xfId="0" applyFont="1" applyFill="1" applyBorder="1" applyAlignment="1" applyProtection="1">
      <alignment horizontal="left" vertical="center"/>
      <protection hidden="1"/>
    </xf>
    <xf numFmtId="0" fontId="1" fillId="2" borderId="15" xfId="0" applyFont="1" applyFill="1" applyBorder="1" applyAlignment="1" applyProtection="1">
      <alignment horizontal="centerContinuous"/>
      <protection hidden="1"/>
    </xf>
    <xf numFmtId="0" fontId="99" fillId="2" borderId="15" xfId="0" applyFont="1" applyFill="1" applyBorder="1" applyAlignment="1" applyProtection="1">
      <alignment horizontal="centerContinuous"/>
      <protection hidden="1"/>
    </xf>
    <xf numFmtId="0" fontId="71" fillId="2" borderId="15" xfId="0" applyFont="1" applyFill="1" applyBorder="1" applyAlignment="1" applyProtection="1">
      <alignment horizontal="centerContinuous"/>
      <protection hidden="1"/>
    </xf>
    <xf numFmtId="0" fontId="82" fillId="2" borderId="5" xfId="0" applyFont="1" applyFill="1" applyBorder="1" applyAlignment="1" applyProtection="1">
      <alignment horizontal="left" vertical="center"/>
      <protection hidden="1"/>
    </xf>
    <xf numFmtId="0" fontId="82" fillId="2" borderId="6" xfId="0" applyFont="1" applyFill="1" applyBorder="1" applyAlignment="1" applyProtection="1">
      <alignment horizontal="left" vertical="center"/>
      <protection hidden="1"/>
    </xf>
    <xf numFmtId="0" fontId="84" fillId="2" borderId="6" xfId="0" applyFont="1" applyFill="1" applyBorder="1" applyAlignment="1" applyProtection="1">
      <alignment vertical="center"/>
      <protection hidden="1"/>
    </xf>
    <xf numFmtId="0" fontId="73" fillId="2" borderId="6" xfId="0" applyFont="1" applyFill="1" applyBorder="1" applyAlignment="1" applyProtection="1">
      <alignment vertical="center"/>
      <protection hidden="1"/>
    </xf>
    <xf numFmtId="1" fontId="73" fillId="2" borderId="6" xfId="0" applyNumberFormat="1" applyFont="1" applyFill="1" applyBorder="1" applyAlignment="1" applyProtection="1">
      <alignment horizontal="center" vertical="center"/>
      <protection hidden="1"/>
    </xf>
    <xf numFmtId="0" fontId="100" fillId="2" borderId="6" xfId="0" applyFont="1" applyFill="1" applyBorder="1" applyAlignment="1" applyProtection="1">
      <alignment horizontal="right" vertical="center"/>
      <protection hidden="1"/>
    </xf>
    <xf numFmtId="1" fontId="100" fillId="2" borderId="6" xfId="0" applyNumberFormat="1" applyFont="1" applyFill="1" applyBorder="1" applyAlignment="1" applyProtection="1">
      <alignment horizontal="center" vertical="center"/>
      <protection hidden="1"/>
    </xf>
    <xf numFmtId="1" fontId="100" fillId="2" borderId="6" xfId="0" applyNumberFormat="1" applyFont="1" applyFill="1" applyBorder="1" applyAlignment="1" applyProtection="1">
      <alignment vertical="center"/>
      <protection hidden="1"/>
    </xf>
    <xf numFmtId="0" fontId="71" fillId="2" borderId="29" xfId="0" applyFont="1" applyFill="1" applyBorder="1" applyAlignment="1" applyProtection="1">
      <alignment vertical="center"/>
      <protection hidden="1"/>
    </xf>
    <xf numFmtId="0" fontId="99" fillId="11" borderId="83" xfId="0" applyFont="1" applyFill="1" applyBorder="1" applyAlignment="1" applyProtection="1">
      <alignment horizontal="left" vertical="center"/>
      <protection hidden="1"/>
    </xf>
    <xf numFmtId="0" fontId="99" fillId="11" borderId="84" xfId="0" applyFont="1" applyFill="1" applyBorder="1" applyAlignment="1" applyProtection="1">
      <alignment horizontal="left" vertical="center"/>
      <protection hidden="1"/>
    </xf>
    <xf numFmtId="0" fontId="101" fillId="11" borderId="84" xfId="0" applyFont="1" applyFill="1" applyBorder="1" applyAlignment="1" applyProtection="1">
      <alignment vertical="center"/>
      <protection hidden="1"/>
    </xf>
    <xf numFmtId="1" fontId="101" fillId="11" borderId="84" xfId="0" applyNumberFormat="1" applyFont="1" applyFill="1" applyBorder="1" applyAlignment="1" applyProtection="1">
      <alignment horizontal="center" vertical="center"/>
      <protection hidden="1"/>
    </xf>
    <xf numFmtId="0" fontId="101" fillId="11" borderId="84" xfId="0" quotePrefix="1" applyFont="1" applyFill="1" applyBorder="1" applyAlignment="1" applyProtection="1">
      <alignment horizontal="right" vertical="center"/>
      <protection hidden="1"/>
    </xf>
    <xf numFmtId="1" fontId="103" fillId="11" borderId="84" xfId="0" applyNumberFormat="1" applyFont="1" applyFill="1" applyBorder="1" applyAlignment="1" applyProtection="1">
      <alignment horizontal="center" vertical="center"/>
      <protection hidden="1"/>
    </xf>
    <xf numFmtId="0" fontId="103" fillId="11" borderId="84" xfId="0" applyFont="1" applyFill="1" applyBorder="1" applyAlignment="1" applyProtection="1">
      <alignment vertical="center"/>
      <protection hidden="1"/>
    </xf>
    <xf numFmtId="0" fontId="104" fillId="2" borderId="5" xfId="0" applyFont="1" applyFill="1" applyBorder="1" applyAlignment="1" applyProtection="1">
      <alignment horizontal="left" vertical="center"/>
      <protection hidden="1"/>
    </xf>
    <xf numFmtId="0" fontId="104" fillId="2" borderId="6" xfId="0" applyFont="1" applyFill="1" applyBorder="1" applyAlignment="1" applyProtection="1">
      <alignment horizontal="left" vertical="center"/>
      <protection hidden="1"/>
    </xf>
    <xf numFmtId="0" fontId="100" fillId="2" borderId="6" xfId="0" applyFont="1" applyFill="1" applyBorder="1" applyAlignment="1" applyProtection="1">
      <alignment vertical="center"/>
      <protection hidden="1"/>
    </xf>
    <xf numFmtId="0" fontId="100" fillId="2" borderId="29" xfId="0" applyFont="1" applyFill="1" applyBorder="1" applyAlignment="1" applyProtection="1">
      <alignment vertical="center"/>
      <protection hidden="1"/>
    </xf>
    <xf numFmtId="0" fontId="99" fillId="12" borderId="83" xfId="0" applyFont="1" applyFill="1" applyBorder="1" applyAlignment="1" applyProtection="1">
      <alignment horizontal="left" vertical="center"/>
      <protection hidden="1"/>
    </xf>
    <xf numFmtId="0" fontId="99" fillId="12" borderId="84" xfId="0" applyFont="1" applyFill="1" applyBorder="1" applyAlignment="1" applyProtection="1">
      <alignment horizontal="left" vertical="center"/>
      <protection hidden="1"/>
    </xf>
    <xf numFmtId="0" fontId="101" fillId="12" borderId="84" xfId="0" applyFont="1" applyFill="1" applyBorder="1" applyAlignment="1" applyProtection="1">
      <alignment vertical="center"/>
      <protection hidden="1"/>
    </xf>
    <xf numFmtId="1" fontId="101" fillId="12" borderId="84" xfId="0" applyNumberFormat="1" applyFont="1" applyFill="1" applyBorder="1" applyAlignment="1" applyProtection="1">
      <alignment horizontal="center" vertical="center"/>
      <protection hidden="1"/>
    </xf>
    <xf numFmtId="0" fontId="101" fillId="12" borderId="84" xfId="0" quotePrefix="1" applyFont="1" applyFill="1" applyBorder="1" applyAlignment="1" applyProtection="1">
      <alignment horizontal="right" vertical="center"/>
      <protection hidden="1"/>
    </xf>
    <xf numFmtId="1" fontId="103" fillId="12" borderId="84" xfId="0" applyNumberFormat="1" applyFont="1" applyFill="1" applyBorder="1" applyAlignment="1" applyProtection="1">
      <alignment horizontal="center" vertical="center"/>
      <protection hidden="1"/>
    </xf>
    <xf numFmtId="0" fontId="103" fillId="12" borderId="84" xfId="0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centerContinuous" vertical="center"/>
      <protection hidden="1"/>
    </xf>
    <xf numFmtId="0" fontId="9" fillId="0" borderId="0" xfId="0" applyFont="1" applyAlignment="1" applyProtection="1">
      <alignment horizontal="centerContinuous" vertical="center"/>
      <protection hidden="1"/>
    </xf>
    <xf numFmtId="0" fontId="2" fillId="2" borderId="0" xfId="0" applyFont="1" applyFill="1" applyAlignment="1" applyProtection="1">
      <alignment horizontal="centerContinuous" vertical="center"/>
      <protection hidden="1"/>
    </xf>
    <xf numFmtId="0" fontId="0" fillId="3" borderId="5" xfId="0" applyFill="1" applyBorder="1" applyAlignment="1" applyProtection="1">
      <alignment vertical="center"/>
      <protection hidden="1"/>
    </xf>
    <xf numFmtId="0" fontId="105" fillId="3" borderId="6" xfId="0" applyFont="1" applyFill="1" applyBorder="1" applyAlignment="1" applyProtection="1">
      <alignment horizontal="centerContinuous" vertical="center"/>
      <protection hidden="1"/>
    </xf>
    <xf numFmtId="0" fontId="0" fillId="3" borderId="6" xfId="0" applyFill="1" applyBorder="1" applyAlignment="1" applyProtection="1">
      <alignment horizontal="centerContinuous" vertical="center"/>
      <protection hidden="1"/>
    </xf>
    <xf numFmtId="0" fontId="0" fillId="3" borderId="1" xfId="0" applyFill="1" applyBorder="1" applyAlignment="1" applyProtection="1">
      <alignment vertical="center"/>
      <protection hidden="1"/>
    </xf>
    <xf numFmtId="0" fontId="0" fillId="3" borderId="4" xfId="0" applyFill="1" applyBorder="1" applyAlignment="1" applyProtection="1">
      <alignment vertical="center"/>
      <protection hidden="1"/>
    </xf>
    <xf numFmtId="0" fontId="106" fillId="3" borderId="0" xfId="0" applyFont="1" applyFill="1" applyAlignment="1" applyProtection="1">
      <alignment horizontal="centerContinuous" vertical="top"/>
      <protection hidden="1"/>
    </xf>
    <xf numFmtId="0" fontId="0" fillId="3" borderId="0" xfId="0" applyFill="1" applyAlignment="1" applyProtection="1">
      <alignment horizontal="centerContinuous" vertical="top"/>
      <protection hidden="1"/>
    </xf>
    <xf numFmtId="0" fontId="0" fillId="3" borderId="2" xfId="0" applyFill="1" applyBorder="1" applyAlignment="1" applyProtection="1">
      <alignment vertical="top"/>
      <protection hidden="1"/>
    </xf>
    <xf numFmtId="0" fontId="0" fillId="3" borderId="4" xfId="0" applyFill="1" applyBorder="1" applyProtection="1">
      <protection hidden="1"/>
    </xf>
    <xf numFmtId="0" fontId="107" fillId="3" borderId="77" xfId="0" applyFont="1" applyFill="1" applyBorder="1" applyAlignment="1" applyProtection="1">
      <alignment horizontal="centerContinuous"/>
      <protection hidden="1"/>
    </xf>
    <xf numFmtId="0" fontId="87" fillId="3" borderId="77" xfId="0" applyFont="1" applyFill="1" applyBorder="1" applyAlignment="1" applyProtection="1">
      <alignment horizontal="centerContinuous"/>
      <protection hidden="1"/>
    </xf>
    <xf numFmtId="0" fontId="87" fillId="3" borderId="78" xfId="0" applyFont="1" applyFill="1" applyBorder="1" applyAlignment="1" applyProtection="1">
      <alignment horizontal="centerContinuous"/>
      <protection hidden="1"/>
    </xf>
    <xf numFmtId="0" fontId="87" fillId="3" borderId="24" xfId="0" applyFont="1" applyFill="1" applyBorder="1" applyAlignment="1" applyProtection="1">
      <alignment horizontal="centerContinuous" vertical="top"/>
      <protection hidden="1"/>
    </xf>
    <xf numFmtId="0" fontId="87" fillId="3" borderId="77" xfId="0" applyFont="1" applyFill="1" applyBorder="1" applyAlignment="1" applyProtection="1">
      <alignment horizontal="centerContinuous" vertical="top"/>
      <protection hidden="1"/>
    </xf>
    <xf numFmtId="0" fontId="87" fillId="3" borderId="78" xfId="0" applyFont="1" applyFill="1" applyBorder="1" applyAlignment="1" applyProtection="1">
      <alignment horizontal="centerContinuous" vertical="top"/>
      <protection hidden="1"/>
    </xf>
    <xf numFmtId="0" fontId="0" fillId="3" borderId="2" xfId="0" applyFill="1" applyBorder="1" applyProtection="1">
      <protection hidden="1"/>
    </xf>
    <xf numFmtId="0" fontId="107" fillId="3" borderId="79" xfId="0" applyFont="1" applyFill="1" applyBorder="1" applyAlignment="1" applyProtection="1">
      <alignment horizontal="centerContinuous" vertical="top"/>
      <protection hidden="1"/>
    </xf>
    <xf numFmtId="0" fontId="87" fillId="3" borderId="79" xfId="0" applyFont="1" applyFill="1" applyBorder="1" applyProtection="1">
      <protection hidden="1"/>
    </xf>
    <xf numFmtId="0" fontId="87" fillId="3" borderId="21" xfId="0" applyFont="1" applyFill="1" applyBorder="1" applyProtection="1">
      <protection hidden="1"/>
    </xf>
    <xf numFmtId="0" fontId="87" fillId="3" borderId="80" xfId="0" applyFont="1" applyFill="1" applyBorder="1" applyAlignment="1" applyProtection="1">
      <alignment horizontal="centerContinuous" vertical="center"/>
      <protection hidden="1"/>
    </xf>
    <xf numFmtId="0" fontId="87" fillId="3" borderId="81" xfId="0" applyFont="1" applyFill="1" applyBorder="1" applyAlignment="1" applyProtection="1">
      <alignment horizontal="centerContinuous" vertical="center"/>
      <protection hidden="1"/>
    </xf>
    <xf numFmtId="0" fontId="87" fillId="3" borderId="82" xfId="0" applyFont="1" applyFill="1" applyBorder="1" applyAlignment="1" applyProtection="1">
      <alignment horizontal="centerContinuous" vertical="center"/>
      <protection hidden="1"/>
    </xf>
    <xf numFmtId="0" fontId="107" fillId="3" borderId="78" xfId="0" applyFont="1" applyFill="1" applyBorder="1" applyAlignment="1" applyProtection="1">
      <alignment horizontal="centerContinuous"/>
      <protection hidden="1"/>
    </xf>
    <xf numFmtId="0" fontId="87" fillId="3" borderId="54" xfId="0" applyFont="1" applyFill="1" applyBorder="1" applyAlignment="1" applyProtection="1">
      <alignment horizontal="center" vertical="top"/>
      <protection hidden="1"/>
    </xf>
    <xf numFmtId="165" fontId="107" fillId="3" borderId="53" xfId="0" applyNumberFormat="1" applyFont="1" applyFill="1" applyBorder="1" applyAlignment="1" applyProtection="1">
      <alignment horizontal="left" vertical="top"/>
      <protection hidden="1"/>
    </xf>
    <xf numFmtId="0" fontId="87" fillId="3" borderId="54" xfId="0" applyFont="1" applyFill="1" applyBorder="1" applyAlignment="1" applyProtection="1">
      <alignment horizontal="right" vertical="top" indent="1"/>
      <protection hidden="1"/>
    </xf>
    <xf numFmtId="164" fontId="87" fillId="3" borderId="86" xfId="0" applyNumberFormat="1" applyFont="1" applyFill="1" applyBorder="1" applyAlignment="1" applyProtection="1">
      <alignment horizontal="left" vertical="top"/>
      <protection hidden="1"/>
    </xf>
    <xf numFmtId="1" fontId="87" fillId="3" borderId="54" xfId="0" applyNumberFormat="1" applyFont="1" applyFill="1" applyBorder="1" applyAlignment="1" applyProtection="1">
      <alignment horizontal="right" vertical="top" indent="1"/>
      <protection hidden="1"/>
    </xf>
    <xf numFmtId="164" fontId="87" fillId="3" borderId="53" xfId="0" applyNumberFormat="1" applyFont="1" applyFill="1" applyBorder="1" applyAlignment="1" applyProtection="1">
      <alignment horizontal="left" vertical="top"/>
      <protection hidden="1"/>
    </xf>
    <xf numFmtId="1" fontId="87" fillId="3" borderId="54" xfId="0" applyNumberFormat="1" applyFont="1" applyFill="1" applyBorder="1" applyAlignment="1" applyProtection="1">
      <alignment horizontal="right" vertical="top"/>
      <protection hidden="1"/>
    </xf>
    <xf numFmtId="164" fontId="87" fillId="3" borderId="53" xfId="0" applyNumberFormat="1" applyFont="1" applyFill="1" applyBorder="1" applyAlignment="1" applyProtection="1">
      <alignment horizontal="left" vertical="top" indent="1"/>
      <protection hidden="1"/>
    </xf>
    <xf numFmtId="0" fontId="108" fillId="3" borderId="32" xfId="0" applyFont="1" applyFill="1" applyBorder="1" applyAlignment="1" applyProtection="1">
      <alignment horizontal="right"/>
      <protection hidden="1"/>
    </xf>
    <xf numFmtId="0" fontId="108" fillId="3" borderId="22" xfId="0" applyFont="1" applyFill="1" applyBorder="1" applyAlignment="1" applyProtection="1">
      <alignment horizontal="left" indent="1"/>
      <protection hidden="1"/>
    </xf>
    <xf numFmtId="0" fontId="87" fillId="3" borderId="52" xfId="0" applyFont="1" applyFill="1" applyBorder="1" applyAlignment="1" applyProtection="1">
      <alignment horizontal="center" vertical="top"/>
      <protection hidden="1"/>
    </xf>
    <xf numFmtId="165" fontId="107" fillId="3" borderId="51" xfId="0" applyNumberFormat="1" applyFont="1" applyFill="1" applyBorder="1" applyAlignment="1" applyProtection="1">
      <alignment horizontal="left" vertical="top"/>
      <protection hidden="1"/>
    </xf>
    <xf numFmtId="0" fontId="87" fillId="3" borderId="52" xfId="0" applyFont="1" applyFill="1" applyBorder="1" applyAlignment="1" applyProtection="1">
      <alignment horizontal="right" vertical="top" indent="1"/>
      <protection hidden="1"/>
    </xf>
    <xf numFmtId="164" fontId="87" fillId="3" borderId="9" xfId="0" applyNumberFormat="1" applyFont="1" applyFill="1" applyBorder="1" applyAlignment="1" applyProtection="1">
      <alignment horizontal="left" vertical="top"/>
      <protection hidden="1"/>
    </xf>
    <xf numFmtId="1" fontId="87" fillId="3" borderId="52" xfId="0" applyNumberFormat="1" applyFont="1" applyFill="1" applyBorder="1" applyAlignment="1" applyProtection="1">
      <alignment horizontal="right" vertical="top" indent="1"/>
      <protection hidden="1"/>
    </xf>
    <xf numFmtId="164" fontId="87" fillId="3" borderId="51" xfId="0" applyNumberFormat="1" applyFont="1" applyFill="1" applyBorder="1" applyAlignment="1" applyProtection="1">
      <alignment horizontal="left" vertical="top"/>
      <protection hidden="1"/>
    </xf>
    <xf numFmtId="1" fontId="87" fillId="3" borderId="52" xfId="0" applyNumberFormat="1" applyFont="1" applyFill="1" applyBorder="1" applyAlignment="1" applyProtection="1">
      <alignment horizontal="right" vertical="top"/>
      <protection hidden="1"/>
    </xf>
    <xf numFmtId="164" fontId="87" fillId="3" borderId="51" xfId="0" applyNumberFormat="1" applyFont="1" applyFill="1" applyBorder="1" applyAlignment="1" applyProtection="1">
      <alignment horizontal="left" vertical="top" indent="1"/>
      <protection hidden="1"/>
    </xf>
    <xf numFmtId="0" fontId="107" fillId="3" borderId="32" xfId="0" applyFont="1" applyFill="1" applyBorder="1" applyAlignment="1" applyProtection="1">
      <alignment horizontal="right"/>
      <protection hidden="1"/>
    </xf>
    <xf numFmtId="0" fontId="107" fillId="3" borderId="22" xfId="0" applyFont="1" applyFill="1" applyBorder="1" applyAlignment="1" applyProtection="1">
      <alignment horizontal="left" indent="1"/>
      <protection hidden="1"/>
    </xf>
    <xf numFmtId="0" fontId="87" fillId="3" borderId="56" xfId="0" applyFont="1" applyFill="1" applyBorder="1" applyAlignment="1" applyProtection="1">
      <alignment horizontal="center" vertical="top"/>
      <protection hidden="1"/>
    </xf>
    <xf numFmtId="165" fontId="107" fillId="3" borderId="7" xfId="0" applyNumberFormat="1" applyFont="1" applyFill="1" applyBorder="1" applyAlignment="1" applyProtection="1">
      <alignment horizontal="left" vertical="top"/>
      <protection hidden="1"/>
    </xf>
    <xf numFmtId="0" fontId="107" fillId="3" borderId="79" xfId="0" applyFont="1" applyFill="1" applyBorder="1" applyAlignment="1" applyProtection="1">
      <alignment horizontal="right"/>
      <protection hidden="1"/>
    </xf>
    <xf numFmtId="0" fontId="107" fillId="3" borderId="21" xfId="0" applyFont="1" applyFill="1" applyBorder="1" applyAlignment="1" applyProtection="1">
      <alignment horizontal="left" indent="1"/>
      <protection hidden="1"/>
    </xf>
    <xf numFmtId="0" fontId="87" fillId="3" borderId="50" xfId="0" applyFont="1" applyFill="1" applyBorder="1" applyAlignment="1" applyProtection="1">
      <alignment horizontal="center" vertical="top"/>
      <protection hidden="1"/>
    </xf>
    <xf numFmtId="165" fontId="107" fillId="3" borderId="18" xfId="0" applyNumberFormat="1" applyFont="1" applyFill="1" applyBorder="1" applyAlignment="1" applyProtection="1">
      <alignment horizontal="left" vertical="top"/>
      <protection hidden="1"/>
    </xf>
    <xf numFmtId="0" fontId="87" fillId="3" borderId="50" xfId="0" applyFont="1" applyFill="1" applyBorder="1" applyAlignment="1" applyProtection="1">
      <alignment horizontal="right" vertical="top" indent="1"/>
      <protection hidden="1"/>
    </xf>
    <xf numFmtId="164" fontId="87" fillId="3" borderId="17" xfId="0" applyNumberFormat="1" applyFont="1" applyFill="1" applyBorder="1" applyAlignment="1" applyProtection="1">
      <alignment horizontal="left" vertical="top"/>
      <protection hidden="1"/>
    </xf>
    <xf numFmtId="1" fontId="87" fillId="3" borderId="50" xfId="0" applyNumberFormat="1" applyFont="1" applyFill="1" applyBorder="1" applyAlignment="1" applyProtection="1">
      <alignment horizontal="right" vertical="top" indent="1"/>
      <protection hidden="1"/>
    </xf>
    <xf numFmtId="164" fontId="87" fillId="3" borderId="18" xfId="0" applyNumberFormat="1" applyFont="1" applyFill="1" applyBorder="1" applyAlignment="1" applyProtection="1">
      <alignment horizontal="left" vertical="top"/>
      <protection hidden="1"/>
    </xf>
    <xf numFmtId="1" fontId="87" fillId="3" borderId="50" xfId="0" applyNumberFormat="1" applyFont="1" applyFill="1" applyBorder="1" applyAlignment="1" applyProtection="1">
      <alignment horizontal="right" vertical="top"/>
      <protection hidden="1"/>
    </xf>
    <xf numFmtId="164" fontId="87" fillId="3" borderId="18" xfId="0" applyNumberFormat="1" applyFont="1" applyFill="1" applyBorder="1" applyAlignment="1" applyProtection="1">
      <alignment horizontal="left" vertical="top" indent="1"/>
      <protection hidden="1"/>
    </xf>
    <xf numFmtId="0" fontId="107" fillId="3" borderId="77" xfId="0" applyFont="1" applyFill="1" applyBorder="1" applyAlignment="1" applyProtection="1">
      <alignment horizontal="right"/>
      <protection hidden="1"/>
    </xf>
    <xf numFmtId="0" fontId="107" fillId="3" borderId="78" xfId="0" applyFont="1" applyFill="1" applyBorder="1" applyAlignment="1" applyProtection="1">
      <alignment horizontal="left" indent="1"/>
      <protection hidden="1"/>
    </xf>
    <xf numFmtId="1" fontId="87" fillId="3" borderId="86" xfId="0" applyNumberFormat="1" applyFont="1" applyFill="1" applyBorder="1" applyAlignment="1" applyProtection="1">
      <alignment horizontal="right" vertical="top" indent="1"/>
      <protection hidden="1"/>
    </xf>
    <xf numFmtId="1" fontId="87" fillId="3" borderId="9" xfId="0" applyNumberFormat="1" applyFont="1" applyFill="1" applyBorder="1" applyAlignment="1" applyProtection="1">
      <alignment horizontal="right" vertical="top" indent="1"/>
      <protection hidden="1"/>
    </xf>
    <xf numFmtId="1" fontId="87" fillId="3" borderId="17" xfId="0" applyNumberFormat="1" applyFont="1" applyFill="1" applyBorder="1" applyAlignment="1" applyProtection="1">
      <alignment horizontal="right" vertical="top" indent="1"/>
      <protection hidden="1"/>
    </xf>
    <xf numFmtId="0" fontId="107" fillId="3" borderId="79" xfId="0" applyFont="1" applyFill="1" applyBorder="1" applyAlignment="1" applyProtection="1">
      <alignment horizontal="centerContinuous"/>
      <protection hidden="1"/>
    </xf>
    <xf numFmtId="0" fontId="8" fillId="3" borderId="0" xfId="0" applyFont="1" applyFill="1" applyProtection="1">
      <protection hidden="1"/>
    </xf>
    <xf numFmtId="165" fontId="8" fillId="3" borderId="0" xfId="0" applyNumberFormat="1" applyFont="1" applyFill="1" applyAlignment="1" applyProtection="1">
      <alignment horizontal="center"/>
      <protection hidden="1"/>
    </xf>
    <xf numFmtId="0" fontId="8" fillId="3" borderId="0" xfId="0" applyFont="1" applyFill="1" applyAlignment="1" applyProtection="1">
      <alignment horizontal="right"/>
      <protection hidden="1"/>
    </xf>
    <xf numFmtId="164" fontId="8" fillId="3" borderId="0" xfId="0" applyNumberFormat="1" applyFont="1" applyFill="1" applyAlignment="1" applyProtection="1">
      <alignment horizontal="left"/>
      <protection hidden="1"/>
    </xf>
    <xf numFmtId="0" fontId="8" fillId="3" borderId="0" xfId="0" quotePrefix="1" applyFont="1" applyFill="1" applyAlignment="1" applyProtection="1">
      <alignment vertical="center"/>
      <protection hidden="1"/>
    </xf>
    <xf numFmtId="0" fontId="8" fillId="3" borderId="0" xfId="0" applyFont="1" applyFill="1" applyAlignment="1" applyProtection="1">
      <alignment horizontal="left" vertical="top"/>
      <protection hidden="1"/>
    </xf>
    <xf numFmtId="165" fontId="8" fillId="3" borderId="0" xfId="0" applyNumberFormat="1" applyFont="1" applyFill="1" applyAlignment="1" applyProtection="1">
      <alignment horizontal="center" vertical="top"/>
      <protection hidden="1"/>
    </xf>
    <xf numFmtId="166" fontId="109" fillId="3" borderId="0" xfId="0" applyNumberFormat="1" applyFont="1" applyFill="1" applyAlignment="1" applyProtection="1">
      <alignment horizontal="center" vertical="top"/>
      <protection hidden="1"/>
    </xf>
    <xf numFmtId="164" fontId="8" fillId="3" borderId="0" xfId="0" applyNumberFormat="1" applyFont="1" applyFill="1" applyAlignment="1" applyProtection="1">
      <alignment horizontal="centerContinuous" vertical="top"/>
      <protection hidden="1"/>
    </xf>
    <xf numFmtId="0" fontId="8" fillId="3" borderId="0" xfId="0" applyFont="1" applyFill="1" applyAlignment="1" applyProtection="1">
      <alignment horizontal="centerContinuous" vertical="top"/>
      <protection hidden="1"/>
    </xf>
    <xf numFmtId="0" fontId="109" fillId="3" borderId="0" xfId="0" applyFont="1" applyFill="1" applyAlignment="1" applyProtection="1">
      <alignment horizontal="left" vertical="top"/>
      <protection hidden="1"/>
    </xf>
    <xf numFmtId="0" fontId="110" fillId="3" borderId="0" xfId="0" applyFont="1" applyFill="1" applyAlignment="1" applyProtection="1">
      <alignment vertical="top"/>
      <protection hidden="1"/>
    </xf>
    <xf numFmtId="164" fontId="110" fillId="3" borderId="0" xfId="0" applyNumberFormat="1" applyFont="1" applyFill="1" applyAlignment="1" applyProtection="1">
      <alignment vertical="top"/>
      <protection hidden="1"/>
    </xf>
    <xf numFmtId="0" fontId="0" fillId="3" borderId="12" xfId="0" applyFill="1" applyBorder="1" applyAlignment="1" applyProtection="1">
      <alignment vertical="top"/>
      <protection hidden="1"/>
    </xf>
    <xf numFmtId="0" fontId="8" fillId="3" borderId="15" xfId="0" applyFont="1" applyFill="1" applyBorder="1" applyAlignment="1" applyProtection="1">
      <alignment horizontal="left" vertical="top"/>
      <protection hidden="1"/>
    </xf>
    <xf numFmtId="165" fontId="8" fillId="3" borderId="15" xfId="0" applyNumberFormat="1" applyFont="1" applyFill="1" applyBorder="1" applyAlignment="1" applyProtection="1">
      <alignment horizontal="center" vertical="top"/>
      <protection hidden="1"/>
    </xf>
    <xf numFmtId="166" fontId="109" fillId="3" borderId="15" xfId="0" applyNumberFormat="1" applyFont="1" applyFill="1" applyBorder="1" applyAlignment="1" applyProtection="1">
      <alignment horizontal="center" vertical="top"/>
      <protection hidden="1"/>
    </xf>
    <xf numFmtId="164" fontId="8" fillId="3" borderId="15" xfId="0" applyNumberFormat="1" applyFont="1" applyFill="1" applyBorder="1" applyAlignment="1" applyProtection="1">
      <alignment horizontal="centerContinuous" vertical="top"/>
      <protection hidden="1"/>
    </xf>
    <xf numFmtId="0" fontId="8" fillId="3" borderId="15" xfId="0" applyFont="1" applyFill="1" applyBorder="1" applyAlignment="1" applyProtection="1">
      <alignment horizontal="centerContinuous" vertical="top"/>
      <protection hidden="1"/>
    </xf>
    <xf numFmtId="0" fontId="109" fillId="3" borderId="15" xfId="0" applyFont="1" applyFill="1" applyBorder="1" applyAlignment="1" applyProtection="1">
      <alignment horizontal="left" vertical="top"/>
      <protection hidden="1"/>
    </xf>
    <xf numFmtId="0" fontId="110" fillId="3" borderId="15" xfId="0" applyFont="1" applyFill="1" applyBorder="1" applyAlignment="1" applyProtection="1">
      <alignment vertical="top"/>
      <protection hidden="1"/>
    </xf>
    <xf numFmtId="164" fontId="110" fillId="3" borderId="15" xfId="0" applyNumberFormat="1" applyFont="1" applyFill="1" applyBorder="1" applyAlignment="1" applyProtection="1">
      <alignment vertical="top"/>
      <protection hidden="1"/>
    </xf>
    <xf numFmtId="0" fontId="0" fillId="3" borderId="3" xfId="0" applyFill="1" applyBorder="1" applyAlignment="1" applyProtection="1">
      <alignment vertical="top"/>
      <protection hidden="1"/>
    </xf>
    <xf numFmtId="0" fontId="7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center" vertical="top"/>
      <protection hidden="1"/>
    </xf>
    <xf numFmtId="165" fontId="7" fillId="2" borderId="0" xfId="0" applyNumberFormat="1" applyFont="1" applyFill="1" applyAlignment="1" applyProtection="1">
      <alignment horizontal="center" vertical="top"/>
      <protection hidden="1"/>
    </xf>
    <xf numFmtId="0" fontId="7" fillId="2" borderId="0" xfId="0" applyFont="1" applyFill="1" applyAlignment="1" applyProtection="1">
      <alignment horizontal="right" vertical="top" indent="1"/>
      <protection hidden="1"/>
    </xf>
    <xf numFmtId="164" fontId="7" fillId="2" borderId="0" xfId="0" applyNumberFormat="1" applyFont="1" applyFill="1" applyAlignment="1" applyProtection="1">
      <alignment horizontal="left" vertical="top"/>
      <protection hidden="1"/>
    </xf>
    <xf numFmtId="0" fontId="111" fillId="3" borderId="5" xfId="0" applyFont="1" applyFill="1" applyBorder="1" applyAlignment="1" applyProtection="1">
      <alignment vertical="center"/>
      <protection hidden="1"/>
    </xf>
    <xf numFmtId="0" fontId="5" fillId="3" borderId="6" xfId="0" applyFont="1" applyFill="1" applyBorder="1" applyAlignment="1" applyProtection="1">
      <alignment horizontal="centerContinuous" vertical="center"/>
      <protection hidden="1"/>
    </xf>
    <xf numFmtId="0" fontId="111" fillId="3" borderId="6" xfId="0" applyFont="1" applyFill="1" applyBorder="1" applyAlignment="1" applyProtection="1">
      <alignment horizontal="centerContinuous" vertical="center"/>
      <protection hidden="1"/>
    </xf>
    <xf numFmtId="0" fontId="111" fillId="3" borderId="1" xfId="0" applyFont="1" applyFill="1" applyBorder="1" applyAlignment="1" applyProtection="1">
      <alignment vertical="center"/>
      <protection hidden="1"/>
    </xf>
    <xf numFmtId="0" fontId="111" fillId="3" borderId="4" xfId="0" applyFont="1" applyFill="1" applyBorder="1" applyAlignment="1" applyProtection="1">
      <alignment vertical="center"/>
      <protection hidden="1"/>
    </xf>
    <xf numFmtId="0" fontId="7" fillId="3" borderId="0" xfId="0" applyFont="1" applyFill="1" applyAlignment="1" applyProtection="1">
      <alignment horizontal="centerContinuous" vertical="top"/>
      <protection hidden="1"/>
    </xf>
    <xf numFmtId="0" fontId="6" fillId="3" borderId="0" xfId="0" applyFont="1" applyFill="1" applyAlignment="1" applyProtection="1">
      <alignment horizontal="centerContinuous" vertical="top"/>
      <protection hidden="1"/>
    </xf>
    <xf numFmtId="0" fontId="111" fillId="3" borderId="0" xfId="0" applyFont="1" applyFill="1" applyAlignment="1" applyProtection="1">
      <alignment horizontal="centerContinuous" vertical="top"/>
      <protection hidden="1"/>
    </xf>
    <xf numFmtId="0" fontId="111" fillId="3" borderId="2" xfId="0" applyFont="1" applyFill="1" applyBorder="1" applyAlignment="1" applyProtection="1">
      <alignment vertical="center"/>
      <protection hidden="1"/>
    </xf>
    <xf numFmtId="0" fontId="87" fillId="3" borderId="4" xfId="0" applyFont="1" applyFill="1" applyBorder="1" applyAlignment="1" applyProtection="1">
      <alignment vertical="center"/>
      <protection hidden="1"/>
    </xf>
    <xf numFmtId="0" fontId="6" fillId="3" borderId="80" xfId="0" applyFont="1" applyFill="1" applyBorder="1" applyAlignment="1" applyProtection="1">
      <alignment horizontal="centerContinuous" vertical="center"/>
      <protection hidden="1"/>
    </xf>
    <xf numFmtId="0" fontId="6" fillId="3" borderId="81" xfId="0" applyFont="1" applyFill="1" applyBorder="1" applyAlignment="1" applyProtection="1">
      <alignment horizontal="centerContinuous" vertical="center"/>
      <protection hidden="1"/>
    </xf>
    <xf numFmtId="0" fontId="6" fillId="3" borderId="89" xfId="0" applyFont="1" applyFill="1" applyBorder="1" applyAlignment="1" applyProtection="1">
      <alignment horizontal="centerContinuous" vertical="center"/>
      <protection hidden="1"/>
    </xf>
    <xf numFmtId="0" fontId="6" fillId="3" borderId="90" xfId="0" applyFont="1" applyFill="1" applyBorder="1" applyAlignment="1" applyProtection="1">
      <alignment horizontal="centerContinuous" vertical="center"/>
      <protection hidden="1"/>
    </xf>
    <xf numFmtId="0" fontId="6" fillId="3" borderId="82" xfId="0" applyFont="1" applyFill="1" applyBorder="1" applyAlignment="1" applyProtection="1">
      <alignment horizontal="centerContinuous" vertical="center"/>
      <protection hidden="1"/>
    </xf>
    <xf numFmtId="0" fontId="87" fillId="3" borderId="0" xfId="0" applyFont="1" applyFill="1" applyAlignment="1" applyProtection="1">
      <alignment horizontal="left" vertical="top"/>
      <protection hidden="1"/>
    </xf>
    <xf numFmtId="0" fontId="87" fillId="3" borderId="2" xfId="0" applyFont="1" applyFill="1" applyBorder="1" applyAlignment="1" applyProtection="1">
      <alignment horizontal="left" vertical="top"/>
      <protection hidden="1"/>
    </xf>
    <xf numFmtId="0" fontId="87" fillId="3" borderId="4" xfId="0" applyFont="1" applyFill="1" applyBorder="1" applyProtection="1">
      <protection hidden="1"/>
    </xf>
    <xf numFmtId="0" fontId="119" fillId="3" borderId="0" xfId="0" applyFont="1" applyFill="1" applyAlignment="1" applyProtection="1">
      <alignment horizontal="centerContinuous" vertical="center"/>
      <protection hidden="1"/>
    </xf>
    <xf numFmtId="0" fontId="7" fillId="3" borderId="0" xfId="0" applyFont="1" applyFill="1" applyAlignment="1" applyProtection="1">
      <alignment horizontal="centerContinuous"/>
      <protection hidden="1"/>
    </xf>
    <xf numFmtId="0" fontId="8" fillId="3" borderId="0" xfId="0" applyFont="1" applyFill="1" applyAlignment="1" applyProtection="1">
      <alignment horizontal="centerContinuous" vertical="center"/>
      <protection hidden="1"/>
    </xf>
    <xf numFmtId="0" fontId="8" fillId="3" borderId="0" xfId="0" applyFont="1" applyFill="1" applyAlignment="1" applyProtection="1">
      <alignment horizontal="centerContinuous"/>
      <protection hidden="1"/>
    </xf>
    <xf numFmtId="0" fontId="87" fillId="3" borderId="2" xfId="0" applyFont="1" applyFill="1" applyBorder="1" applyProtection="1">
      <protection hidden="1"/>
    </xf>
    <xf numFmtId="0" fontId="7" fillId="3" borderId="0" xfId="0" applyFont="1" applyFill="1" applyAlignment="1" applyProtection="1">
      <alignment horizontal="centerContinuous" vertical="center"/>
      <protection hidden="1"/>
    </xf>
    <xf numFmtId="0" fontId="120" fillId="3" borderId="0" xfId="0" applyFont="1" applyFill="1" applyAlignment="1" applyProtection="1">
      <alignment horizontal="centerContinuous"/>
      <protection hidden="1"/>
    </xf>
    <xf numFmtId="0" fontId="120" fillId="3" borderId="0" xfId="0" applyFont="1" applyFill="1" applyAlignment="1" applyProtection="1">
      <alignment horizontal="centerContinuous" vertical="center"/>
      <protection hidden="1"/>
    </xf>
    <xf numFmtId="0" fontId="121" fillId="3" borderId="0" xfId="0" applyFont="1" applyFill="1" applyAlignment="1" applyProtection="1">
      <alignment horizontal="left" vertical="center"/>
      <protection hidden="1"/>
    </xf>
    <xf numFmtId="0" fontId="87" fillId="3" borderId="2" xfId="0" applyFont="1" applyFill="1" applyBorder="1" applyAlignment="1" applyProtection="1">
      <alignment horizontal="left"/>
      <protection hidden="1"/>
    </xf>
    <xf numFmtId="0" fontId="119" fillId="3" borderId="0" xfId="0" applyFont="1" applyFill="1" applyAlignment="1" applyProtection="1">
      <alignment horizontal="centerContinuous" vertical="top"/>
      <protection hidden="1"/>
    </xf>
    <xf numFmtId="0" fontId="87" fillId="3" borderId="0" xfId="0" applyFont="1" applyFill="1" applyAlignment="1" applyProtection="1">
      <alignment horizontal="centerContinuous"/>
      <protection hidden="1"/>
    </xf>
    <xf numFmtId="0" fontId="87" fillId="3" borderId="0" xfId="0" applyFont="1" applyFill="1" applyAlignment="1" applyProtection="1">
      <alignment horizontal="centerContinuous" vertical="center"/>
      <protection hidden="1"/>
    </xf>
    <xf numFmtId="0" fontId="112" fillId="3" borderId="0" xfId="0" applyFont="1" applyFill="1" applyAlignment="1" applyProtection="1">
      <alignment horizontal="left" vertical="center"/>
      <protection hidden="1"/>
    </xf>
    <xf numFmtId="0" fontId="7" fillId="3" borderId="0" xfId="0" applyFont="1" applyFill="1" applyProtection="1"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87" fillId="3" borderId="0" xfId="0" applyFont="1" applyFill="1" applyAlignment="1" applyProtection="1">
      <alignment horizontal="left" vertical="center"/>
      <protection hidden="1"/>
    </xf>
    <xf numFmtId="0" fontId="119" fillId="3" borderId="0" xfId="0" applyFont="1" applyFill="1" applyAlignment="1" applyProtection="1">
      <alignment horizontal="centerContinuous"/>
      <protection hidden="1"/>
    </xf>
    <xf numFmtId="176" fontId="7" fillId="3" borderId="77" xfId="0" applyNumberFormat="1" applyFont="1" applyFill="1" applyBorder="1" applyAlignment="1" applyProtection="1">
      <alignment horizontal="center" vertical="center"/>
      <protection hidden="1"/>
    </xf>
    <xf numFmtId="188" fontId="122" fillId="3" borderId="78" xfId="0" applyNumberFormat="1" applyFont="1" applyFill="1" applyBorder="1" applyAlignment="1" applyProtection="1">
      <alignment horizontal="centerContinuous" vertical="center"/>
      <protection hidden="1"/>
    </xf>
    <xf numFmtId="0" fontId="7" fillId="3" borderId="77" xfId="0" applyFont="1" applyFill="1" applyBorder="1" applyAlignment="1" applyProtection="1">
      <alignment horizontal="centerContinuous" vertical="center"/>
      <protection hidden="1"/>
    </xf>
    <xf numFmtId="0" fontId="7" fillId="3" borderId="24" xfId="0" applyFont="1" applyFill="1" applyBorder="1" applyAlignment="1" applyProtection="1">
      <alignment horizontal="centerContinuous" vertical="center"/>
      <protection hidden="1"/>
    </xf>
    <xf numFmtId="0" fontId="7" fillId="3" borderId="91" xfId="0" applyFont="1" applyFill="1" applyBorder="1" applyAlignment="1" applyProtection="1">
      <alignment horizontal="centerContinuous" vertical="center"/>
      <protection hidden="1"/>
    </xf>
    <xf numFmtId="0" fontId="7" fillId="3" borderId="92" xfId="0" applyFont="1" applyFill="1" applyBorder="1" applyAlignment="1" applyProtection="1">
      <alignment horizontal="centerContinuous" vertical="center"/>
      <protection hidden="1"/>
    </xf>
    <xf numFmtId="0" fontId="7" fillId="3" borderId="78" xfId="0" applyFont="1" applyFill="1" applyBorder="1" applyAlignment="1" applyProtection="1">
      <alignment horizontal="centerContinuous" vertical="center"/>
      <protection hidden="1"/>
    </xf>
    <xf numFmtId="164" fontId="87" fillId="3" borderId="0" xfId="0" applyNumberFormat="1" applyFont="1" applyFill="1" applyAlignment="1" applyProtection="1">
      <alignment horizontal="left" vertical="top" indent="1"/>
      <protection hidden="1"/>
    </xf>
    <xf numFmtId="176" fontId="7" fillId="3" borderId="32" xfId="0" applyNumberFormat="1" applyFont="1" applyFill="1" applyBorder="1" applyAlignment="1" applyProtection="1">
      <alignment horizontal="center" vertical="center"/>
      <protection hidden="1"/>
    </xf>
    <xf numFmtId="188" fontId="122" fillId="3" borderId="22" xfId="0" applyNumberFormat="1" applyFont="1" applyFill="1" applyBorder="1" applyAlignment="1" applyProtection="1">
      <alignment horizontal="centerContinuous" vertical="center"/>
      <protection hidden="1"/>
    </xf>
    <xf numFmtId="0" fontId="7" fillId="3" borderId="32" xfId="0" applyFont="1" applyFill="1" applyBorder="1" applyAlignment="1" applyProtection="1">
      <alignment horizontal="centerContinuous" vertical="center"/>
      <protection hidden="1"/>
    </xf>
    <xf numFmtId="0" fontId="7" fillId="3" borderId="4" xfId="0" applyFont="1" applyFill="1" applyBorder="1" applyAlignment="1" applyProtection="1">
      <alignment horizontal="centerContinuous" vertical="center"/>
      <protection hidden="1"/>
    </xf>
    <xf numFmtId="0" fontId="7" fillId="3" borderId="2" xfId="0" applyFont="1" applyFill="1" applyBorder="1" applyAlignment="1" applyProtection="1">
      <alignment horizontal="centerContinuous" vertical="center"/>
      <protection hidden="1"/>
    </xf>
    <xf numFmtId="0" fontId="7" fillId="3" borderId="22" xfId="0" applyFont="1" applyFill="1" applyBorder="1" applyAlignment="1" applyProtection="1">
      <alignment horizontal="centerContinuous" vertical="center"/>
      <protection hidden="1"/>
    </xf>
    <xf numFmtId="189" fontId="0" fillId="0" borderId="0" xfId="0" applyNumberFormat="1"/>
    <xf numFmtId="176" fontId="7" fillId="3" borderId="79" xfId="0" applyNumberFormat="1" applyFont="1" applyFill="1" applyBorder="1" applyAlignment="1" applyProtection="1">
      <alignment horizontal="center" vertical="center"/>
      <protection hidden="1"/>
    </xf>
    <xf numFmtId="188" fontId="122" fillId="3" borderId="21" xfId="0" applyNumberFormat="1" applyFont="1" applyFill="1" applyBorder="1" applyAlignment="1" applyProtection="1">
      <alignment horizontal="centerContinuous" vertical="center"/>
      <protection hidden="1"/>
    </xf>
    <xf numFmtId="0" fontId="7" fillId="3" borderId="79" xfId="0" applyFont="1" applyFill="1" applyBorder="1" applyAlignment="1" applyProtection="1">
      <alignment horizontal="centerContinuous" vertical="center"/>
      <protection hidden="1"/>
    </xf>
    <xf numFmtId="0" fontId="7" fillId="3" borderId="20" xfId="0" applyFont="1" applyFill="1" applyBorder="1" applyAlignment="1" applyProtection="1">
      <alignment horizontal="centerContinuous" vertical="center"/>
      <protection hidden="1"/>
    </xf>
    <xf numFmtId="0" fontId="7" fillId="3" borderId="19" xfId="0" applyFont="1" applyFill="1" applyBorder="1" applyAlignment="1" applyProtection="1">
      <alignment horizontal="centerContinuous" vertical="center"/>
      <protection hidden="1"/>
    </xf>
    <xf numFmtId="0" fontId="7" fillId="3" borderId="93" xfId="0" applyFont="1" applyFill="1" applyBorder="1" applyAlignment="1" applyProtection="1">
      <alignment horizontal="centerContinuous" vertical="center"/>
      <protection hidden="1"/>
    </xf>
    <xf numFmtId="0" fontId="7" fillId="3" borderId="21" xfId="0" applyFont="1" applyFill="1" applyBorder="1" applyAlignment="1" applyProtection="1">
      <alignment horizontal="centerContinuous" vertical="center"/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0" fontId="112" fillId="3" borderId="0" xfId="0" applyFont="1" applyFill="1" applyAlignment="1" applyProtection="1">
      <alignment horizontal="centerContinuous"/>
      <protection hidden="1"/>
    </xf>
    <xf numFmtId="0" fontId="87" fillId="3" borderId="4" xfId="0" applyFont="1" applyFill="1" applyBorder="1" applyAlignment="1" applyProtection="1">
      <alignment horizontal="left"/>
      <protection hidden="1"/>
    </xf>
    <xf numFmtId="0" fontId="119" fillId="3" borderId="0" xfId="0" applyFont="1" applyFill="1" applyAlignment="1" applyProtection="1">
      <alignment horizontal="left"/>
      <protection hidden="1"/>
    </xf>
    <xf numFmtId="190" fontId="7" fillId="3" borderId="0" xfId="0" applyNumberFormat="1" applyFont="1" applyFill="1" applyAlignment="1" applyProtection="1">
      <alignment horizontal="left" vertical="top"/>
      <protection hidden="1"/>
    </xf>
    <xf numFmtId="49" fontId="87" fillId="3" borderId="0" xfId="0" applyNumberFormat="1" applyFont="1" applyFill="1" applyAlignment="1" applyProtection="1">
      <alignment horizontal="left" vertical="top" indent="1"/>
      <protection hidden="1"/>
    </xf>
    <xf numFmtId="0" fontId="7" fillId="3" borderId="0" xfId="0" applyFont="1" applyFill="1" applyAlignment="1" applyProtection="1">
      <alignment horizontal="left" vertical="top" indent="1"/>
      <protection hidden="1"/>
    </xf>
    <xf numFmtId="164" fontId="87" fillId="3" borderId="0" xfId="0" applyNumberFormat="1" applyFont="1" applyFill="1" applyAlignment="1" applyProtection="1">
      <alignment horizontal="left" vertical="top"/>
      <protection hidden="1"/>
    </xf>
    <xf numFmtId="0" fontId="7" fillId="3" borderId="0" xfId="0" applyFont="1" applyFill="1" applyAlignment="1" applyProtection="1">
      <alignment horizontal="left" vertical="top"/>
      <protection hidden="1"/>
    </xf>
    <xf numFmtId="0" fontId="87" fillId="3" borderId="4" xfId="0" applyFont="1" applyFill="1" applyBorder="1" applyAlignment="1" applyProtection="1">
      <alignment horizontal="left" vertical="top"/>
      <protection hidden="1"/>
    </xf>
    <xf numFmtId="165" fontId="7" fillId="3" borderId="0" xfId="0" applyNumberFormat="1" applyFont="1" applyFill="1" applyAlignment="1" applyProtection="1">
      <alignment horizontal="left" vertical="top"/>
      <protection hidden="1"/>
    </xf>
    <xf numFmtId="166" fontId="7" fillId="3" borderId="0" xfId="0" applyNumberFormat="1" applyFont="1" applyFill="1" applyAlignment="1" applyProtection="1">
      <alignment horizontal="left" vertical="top"/>
      <protection hidden="1"/>
    </xf>
    <xf numFmtId="164" fontId="7" fillId="3" borderId="0" xfId="0" applyNumberFormat="1" applyFont="1" applyFill="1" applyAlignment="1" applyProtection="1">
      <alignment horizontal="left" vertical="top"/>
      <protection hidden="1"/>
    </xf>
    <xf numFmtId="164" fontId="8" fillId="3" borderId="0" xfId="0" applyNumberFormat="1" applyFont="1" applyFill="1" applyAlignment="1" applyProtection="1">
      <alignment horizontal="left" vertical="top"/>
      <protection hidden="1"/>
    </xf>
    <xf numFmtId="0" fontId="87" fillId="3" borderId="12" xfId="0" applyFont="1" applyFill="1" applyBorder="1" applyAlignment="1" applyProtection="1">
      <alignment horizontal="left"/>
      <protection hidden="1"/>
    </xf>
    <xf numFmtId="165" fontId="8" fillId="3" borderId="15" xfId="0" applyNumberFormat="1" applyFont="1" applyFill="1" applyBorder="1" applyAlignment="1" applyProtection="1">
      <alignment horizontal="left" vertical="top"/>
      <protection hidden="1"/>
    </xf>
    <xf numFmtId="166" fontId="8" fillId="3" borderId="15" xfId="0" applyNumberFormat="1" applyFont="1" applyFill="1" applyBorder="1" applyAlignment="1" applyProtection="1">
      <alignment horizontal="left" vertical="top"/>
      <protection hidden="1"/>
    </xf>
    <xf numFmtId="164" fontId="8" fillId="3" borderId="15" xfId="0" applyNumberFormat="1" applyFont="1" applyFill="1" applyBorder="1" applyAlignment="1" applyProtection="1">
      <alignment horizontal="left" vertical="top"/>
      <protection hidden="1"/>
    </xf>
    <xf numFmtId="0" fontId="87" fillId="3" borderId="3" xfId="0" applyFont="1" applyFill="1" applyBorder="1" applyAlignment="1" applyProtection="1">
      <alignment horizontal="left"/>
      <protection hidden="1"/>
    </xf>
    <xf numFmtId="0" fontId="0" fillId="0" borderId="0" xfId="0" applyAlignment="1" applyProtection="1">
      <alignment horizontal="centerContinuous"/>
      <protection hidden="1"/>
    </xf>
    <xf numFmtId="0" fontId="73" fillId="2" borderId="5" xfId="0" applyFont="1" applyFill="1" applyBorder="1" applyProtection="1">
      <protection hidden="1"/>
    </xf>
    <xf numFmtId="0" fontId="71" fillId="2" borderId="77" xfId="0" applyFont="1" applyFill="1" applyBorder="1" applyAlignment="1" applyProtection="1">
      <alignment horizontal="centerContinuous" vertical="top"/>
      <protection hidden="1"/>
    </xf>
    <xf numFmtId="0" fontId="71" fillId="2" borderId="24" xfId="0" applyFont="1" applyFill="1" applyBorder="1" applyAlignment="1" applyProtection="1">
      <alignment horizontal="centerContinuous" vertical="top"/>
      <protection hidden="1"/>
    </xf>
    <xf numFmtId="0" fontId="71" fillId="2" borderId="78" xfId="0" applyFont="1" applyFill="1" applyBorder="1" applyAlignment="1" applyProtection="1">
      <alignment horizontal="centerContinuous" vertical="top"/>
      <protection hidden="1"/>
    </xf>
    <xf numFmtId="1" fontId="71" fillId="2" borderId="80" xfId="0" applyNumberFormat="1" applyFont="1" applyFill="1" applyBorder="1" applyAlignment="1" applyProtection="1">
      <alignment horizontal="centerContinuous" vertical="center"/>
      <protection hidden="1"/>
    </xf>
    <xf numFmtId="164" fontId="71" fillId="2" borderId="82" xfId="0" applyNumberFormat="1" applyFont="1" applyFill="1" applyBorder="1" applyAlignment="1" applyProtection="1">
      <alignment horizontal="centerContinuous" vertical="center"/>
      <protection hidden="1"/>
    </xf>
    <xf numFmtId="0" fontId="8" fillId="3" borderId="5" xfId="0" applyFont="1" applyFill="1" applyBorder="1" applyAlignment="1" applyProtection="1">
      <alignment horizontal="left" vertical="center"/>
      <protection hidden="1"/>
    </xf>
    <xf numFmtId="0" fontId="8" fillId="3" borderId="6" xfId="0" applyFont="1" applyFill="1" applyBorder="1" applyAlignment="1" applyProtection="1">
      <alignment horizontal="left" vertical="center"/>
      <protection hidden="1"/>
    </xf>
    <xf numFmtId="166" fontId="8" fillId="3" borderId="6" xfId="0" applyNumberFormat="1" applyFont="1" applyFill="1" applyBorder="1" applyAlignment="1" applyProtection="1">
      <alignment horizontal="center" vertical="center"/>
      <protection hidden="1"/>
    </xf>
    <xf numFmtId="164" fontId="8" fillId="3" borderId="6" xfId="0" applyNumberFormat="1" applyFont="1" applyFill="1" applyBorder="1" applyAlignment="1" applyProtection="1">
      <alignment horizontal="center" vertical="center"/>
      <protection hidden="1"/>
    </xf>
    <xf numFmtId="0" fontId="8" fillId="3" borderId="6" xfId="0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left" vertical="center"/>
      <protection hidden="1"/>
    </xf>
    <xf numFmtId="0" fontId="110" fillId="2" borderId="4" xfId="0" applyFont="1" applyFill="1" applyBorder="1" applyAlignment="1" applyProtection="1">
      <alignment vertical="top"/>
      <protection hidden="1"/>
    </xf>
    <xf numFmtId="0" fontId="8" fillId="3" borderId="4" xfId="0" applyFont="1" applyFill="1" applyBorder="1" applyAlignment="1" applyProtection="1">
      <alignment horizontal="left" vertical="center"/>
      <protection hidden="1"/>
    </xf>
    <xf numFmtId="0" fontId="8" fillId="3" borderId="2" xfId="0" applyFont="1" applyFill="1" applyBorder="1" applyAlignment="1" applyProtection="1">
      <alignment horizontal="left" vertical="center"/>
      <protection hidden="1"/>
    </xf>
    <xf numFmtId="0" fontId="8" fillId="3" borderId="12" xfId="0" applyFont="1" applyFill="1" applyBorder="1" applyAlignment="1" applyProtection="1">
      <alignment horizontal="left" vertical="center"/>
      <protection hidden="1"/>
    </xf>
    <xf numFmtId="0" fontId="8" fillId="3" borderId="15" xfId="0" applyFont="1" applyFill="1" applyBorder="1" applyAlignment="1" applyProtection="1">
      <alignment horizontal="left" vertical="center"/>
      <protection hidden="1"/>
    </xf>
    <xf numFmtId="166" fontId="8" fillId="3" borderId="15" xfId="0" applyNumberFormat="1" applyFont="1" applyFill="1" applyBorder="1" applyAlignment="1" applyProtection="1">
      <alignment horizontal="center" vertical="center"/>
      <protection hidden="1"/>
    </xf>
    <xf numFmtId="164" fontId="8" fillId="3" borderId="15" xfId="0" applyNumberFormat="1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3" xfId="0" applyFont="1" applyFill="1" applyBorder="1" applyAlignment="1" applyProtection="1">
      <alignment horizontal="left" vertical="center"/>
      <protection hidden="1"/>
    </xf>
    <xf numFmtId="0" fontId="130" fillId="2" borderId="6" xfId="0" applyFont="1" applyFill="1" applyBorder="1" applyAlignment="1" applyProtection="1">
      <alignment vertical="center"/>
      <protection hidden="1"/>
    </xf>
    <xf numFmtId="0" fontId="99" fillId="11" borderId="89" xfId="0" applyFont="1" applyFill="1" applyBorder="1" applyAlignment="1" applyProtection="1">
      <alignment horizontal="left" vertical="center"/>
      <protection hidden="1"/>
    </xf>
    <xf numFmtId="0" fontId="99" fillId="12" borderId="81" xfId="0" applyFont="1" applyFill="1" applyBorder="1" applyAlignment="1" applyProtection="1">
      <alignment horizontal="left" vertical="center"/>
      <protection hidden="1"/>
    </xf>
    <xf numFmtId="0" fontId="101" fillId="2" borderId="81" xfId="0" applyFont="1" applyFill="1" applyBorder="1" applyAlignment="1" applyProtection="1">
      <alignment vertical="center"/>
      <protection hidden="1"/>
    </xf>
    <xf numFmtId="1" fontId="101" fillId="2" borderId="81" xfId="0" applyNumberFormat="1" applyFont="1" applyFill="1" applyBorder="1" applyAlignment="1" applyProtection="1">
      <alignment horizontal="center" vertical="center"/>
      <protection hidden="1"/>
    </xf>
    <xf numFmtId="0" fontId="132" fillId="2" borderId="81" xfId="0" applyFont="1" applyFill="1" applyBorder="1" applyAlignment="1" applyProtection="1">
      <alignment horizontal="right" vertical="center"/>
      <protection hidden="1"/>
    </xf>
    <xf numFmtId="1" fontId="103" fillId="2" borderId="81" xfId="0" applyNumberFormat="1" applyFont="1" applyFill="1" applyBorder="1" applyAlignment="1" applyProtection="1">
      <alignment horizontal="center" vertical="center"/>
      <protection hidden="1"/>
    </xf>
    <xf numFmtId="0" fontId="103" fillId="2" borderId="81" xfId="0" applyFont="1" applyFill="1" applyBorder="1" applyAlignment="1" applyProtection="1">
      <alignment vertical="center"/>
      <protection hidden="1"/>
    </xf>
    <xf numFmtId="0" fontId="136" fillId="11" borderId="30" xfId="0" applyFont="1" applyFill="1" applyBorder="1" applyAlignment="1" applyProtection="1">
      <alignment horizontal="left" vertical="center"/>
      <protection hidden="1"/>
    </xf>
    <xf numFmtId="0" fontId="136" fillId="12" borderId="28" xfId="0" applyFont="1" applyFill="1" applyBorder="1" applyAlignment="1" applyProtection="1">
      <alignment horizontal="left" vertical="center"/>
      <protection hidden="1"/>
    </xf>
    <xf numFmtId="0" fontId="137" fillId="2" borderId="28" xfId="0" applyFont="1" applyFill="1" applyBorder="1" applyAlignment="1" applyProtection="1">
      <alignment vertical="center"/>
      <protection hidden="1"/>
    </xf>
    <xf numFmtId="1" fontId="137" fillId="2" borderId="28" xfId="0" applyNumberFormat="1" applyFont="1" applyFill="1" applyBorder="1" applyAlignment="1" applyProtection="1">
      <alignment horizontal="center" vertical="center"/>
      <protection hidden="1"/>
    </xf>
    <xf numFmtId="0" fontId="132" fillId="2" borderId="28" xfId="0" applyFont="1" applyFill="1" applyBorder="1" applyAlignment="1" applyProtection="1">
      <alignment horizontal="right" vertical="center"/>
      <protection hidden="1"/>
    </xf>
    <xf numFmtId="1" fontId="103" fillId="2" borderId="28" xfId="0" applyNumberFormat="1" applyFont="1" applyFill="1" applyBorder="1" applyAlignment="1" applyProtection="1">
      <alignment horizontal="center" vertical="center"/>
      <protection hidden="1"/>
    </xf>
    <xf numFmtId="0" fontId="103" fillId="2" borderId="28" xfId="0" applyFont="1" applyFill="1" applyBorder="1" applyAlignment="1" applyProtection="1">
      <alignment vertical="center"/>
      <protection hidden="1"/>
    </xf>
    <xf numFmtId="176" fontId="7" fillId="3" borderId="80" xfId="0" applyNumberFormat="1" applyFont="1" applyFill="1" applyBorder="1" applyAlignment="1" applyProtection="1">
      <alignment horizontal="left" vertical="center" indent="1"/>
      <protection hidden="1"/>
    </xf>
    <xf numFmtId="188" fontId="122" fillId="3" borderId="81" xfId="0" applyNumberFormat="1" applyFont="1" applyFill="1" applyBorder="1" applyAlignment="1" applyProtection="1">
      <alignment horizontal="centerContinuous" vertical="center"/>
      <protection hidden="1"/>
    </xf>
    <xf numFmtId="0" fontId="7" fillId="3" borderId="81" xfId="0" applyFont="1" applyFill="1" applyBorder="1" applyAlignment="1" applyProtection="1">
      <alignment horizontal="centerContinuous" vertical="center"/>
      <protection hidden="1"/>
    </xf>
    <xf numFmtId="0" fontId="7" fillId="3" borderId="80" xfId="0" applyFont="1" applyFill="1" applyBorder="1" applyAlignment="1" applyProtection="1">
      <alignment horizontal="right" vertical="center" indent="1"/>
      <protection hidden="1"/>
    </xf>
    <xf numFmtId="0" fontId="87" fillId="3" borderId="82" xfId="0" applyFont="1" applyFill="1" applyBorder="1" applyAlignment="1" applyProtection="1">
      <alignment horizontal="left" vertical="center"/>
      <protection hidden="1"/>
    </xf>
    <xf numFmtId="0" fontId="123" fillId="3" borderId="0" xfId="0" applyFont="1" applyFill="1" applyAlignment="1" applyProtection="1">
      <alignment horizontal="left" vertical="top"/>
      <protection hidden="1"/>
    </xf>
    <xf numFmtId="3" fontId="13" fillId="2" borderId="0" xfId="0" applyNumberFormat="1" applyFont="1" applyFill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Continuous" vertical="top"/>
      <protection hidden="1"/>
    </xf>
    <xf numFmtId="0" fontId="56" fillId="2" borderId="0" xfId="0" applyFont="1" applyFill="1" applyAlignment="1" applyProtection="1">
      <alignment horizontal="centerContinuous" vertical="center"/>
      <protection hidden="1"/>
    </xf>
    <xf numFmtId="0" fontId="14" fillId="0" borderId="0" xfId="0" applyFont="1" applyAlignment="1" applyProtection="1">
      <alignment horizontal="centerContinuous" vertical="top"/>
      <protection hidden="1"/>
    </xf>
    <xf numFmtId="0" fontId="14" fillId="0" borderId="0" xfId="0" applyFont="1" applyAlignment="1" applyProtection="1">
      <alignment horizontal="centerContinuous" vertical="center"/>
      <protection hidden="1"/>
    </xf>
    <xf numFmtId="0" fontId="34" fillId="2" borderId="0" xfId="0" applyFont="1" applyFill="1" applyAlignment="1" applyProtection="1">
      <alignment horizontal="centerContinuous" vertical="center"/>
      <protection hidden="1"/>
    </xf>
    <xf numFmtId="0" fontId="11" fillId="2" borderId="9" xfId="0" applyFont="1" applyFill="1" applyBorder="1" applyProtection="1">
      <protection hidden="1"/>
    </xf>
    <xf numFmtId="0" fontId="100" fillId="2" borderId="24" xfId="0" applyFont="1" applyFill="1" applyBorder="1" applyAlignment="1" applyProtection="1">
      <alignment horizontal="centerContinuous" vertical="center"/>
      <protection hidden="1"/>
    </xf>
    <xf numFmtId="0" fontId="100" fillId="2" borderId="77" xfId="0" applyFont="1" applyFill="1" applyBorder="1" applyAlignment="1" applyProtection="1">
      <alignment horizontal="centerContinuous" vertical="center"/>
      <protection hidden="1"/>
    </xf>
    <xf numFmtId="0" fontId="100" fillId="2" borderId="78" xfId="0" applyFont="1" applyFill="1" applyBorder="1" applyAlignment="1" applyProtection="1">
      <alignment horizontal="centerContinuous" vertical="center"/>
      <protection hidden="1"/>
    </xf>
    <xf numFmtId="0" fontId="100" fillId="2" borderId="80" xfId="0" applyFont="1" applyFill="1" applyBorder="1" applyAlignment="1" applyProtection="1">
      <alignment horizontal="centerContinuous" vertical="center"/>
      <protection hidden="1"/>
    </xf>
    <xf numFmtId="0" fontId="100" fillId="2" borderId="81" xfId="0" applyFont="1" applyFill="1" applyBorder="1" applyAlignment="1" applyProtection="1">
      <alignment horizontal="centerContinuous" vertical="center"/>
      <protection hidden="1"/>
    </xf>
    <xf numFmtId="0" fontId="100" fillId="2" borderId="82" xfId="0" applyFont="1" applyFill="1" applyBorder="1" applyAlignment="1" applyProtection="1">
      <alignment horizontal="centerContinuous" vertical="center"/>
      <protection hidden="1"/>
    </xf>
    <xf numFmtId="1" fontId="112" fillId="2" borderId="54" xfId="0" applyNumberFormat="1" applyFont="1" applyFill="1" applyBorder="1" applyAlignment="1" applyProtection="1">
      <alignment horizontal="center" vertical="center"/>
      <protection hidden="1"/>
    </xf>
    <xf numFmtId="164" fontId="112" fillId="2" borderId="53" xfId="0" applyNumberFormat="1" applyFont="1" applyFill="1" applyBorder="1" applyAlignment="1" applyProtection="1">
      <alignment horizontal="left" vertical="top"/>
      <protection hidden="1"/>
    </xf>
    <xf numFmtId="1" fontId="112" fillId="2" borderId="54" xfId="0" applyNumberFormat="1" applyFont="1" applyFill="1" applyBorder="1" applyAlignment="1" applyProtection="1">
      <alignment horizontal="right" vertical="center"/>
      <protection hidden="1"/>
    </xf>
    <xf numFmtId="164" fontId="112" fillId="2" borderId="53" xfId="0" applyNumberFormat="1" applyFont="1" applyFill="1" applyBorder="1" applyAlignment="1" applyProtection="1">
      <alignment horizontal="left" vertical="top" indent="1"/>
      <protection hidden="1"/>
    </xf>
    <xf numFmtId="1" fontId="112" fillId="2" borderId="52" xfId="0" applyNumberFormat="1" applyFont="1" applyFill="1" applyBorder="1" applyAlignment="1" applyProtection="1">
      <alignment horizontal="center" vertical="center"/>
      <protection hidden="1"/>
    </xf>
    <xf numFmtId="164" fontId="112" fillId="2" borderId="51" xfId="0" applyNumberFormat="1" applyFont="1" applyFill="1" applyBorder="1" applyAlignment="1" applyProtection="1">
      <alignment horizontal="left" vertical="top"/>
      <protection hidden="1"/>
    </xf>
    <xf numFmtId="1" fontId="112" fillId="2" borderId="52" xfId="0" applyNumberFormat="1" applyFont="1" applyFill="1" applyBorder="1" applyAlignment="1" applyProtection="1">
      <alignment horizontal="right" vertical="center"/>
      <protection hidden="1"/>
    </xf>
    <xf numFmtId="164" fontId="112" fillId="2" borderId="51" xfId="0" applyNumberFormat="1" applyFont="1" applyFill="1" applyBorder="1" applyAlignment="1" applyProtection="1">
      <alignment horizontal="left" vertical="top" indent="1"/>
      <protection hidden="1"/>
    </xf>
    <xf numFmtId="1" fontId="112" fillId="2" borderId="50" xfId="0" applyNumberFormat="1" applyFont="1" applyFill="1" applyBorder="1" applyAlignment="1" applyProtection="1">
      <alignment horizontal="center" vertical="center"/>
      <protection hidden="1"/>
    </xf>
    <xf numFmtId="164" fontId="112" fillId="2" borderId="18" xfId="0" applyNumberFormat="1" applyFont="1" applyFill="1" applyBorder="1" applyAlignment="1" applyProtection="1">
      <alignment horizontal="left" vertical="top"/>
      <protection hidden="1"/>
    </xf>
    <xf numFmtId="1" fontId="112" fillId="2" borderId="50" xfId="0" applyNumberFormat="1" applyFont="1" applyFill="1" applyBorder="1" applyAlignment="1" applyProtection="1">
      <alignment horizontal="right" vertical="center"/>
      <protection hidden="1"/>
    </xf>
    <xf numFmtId="164" fontId="112" fillId="2" borderId="18" xfId="0" applyNumberFormat="1" applyFont="1" applyFill="1" applyBorder="1" applyAlignment="1" applyProtection="1">
      <alignment horizontal="left" vertical="top" indent="1"/>
      <protection hidden="1"/>
    </xf>
    <xf numFmtId="0" fontId="138" fillId="11" borderId="85" xfId="0" applyFont="1" applyFill="1" applyBorder="1" applyAlignment="1" applyProtection="1">
      <alignment horizontal="left" vertical="top" wrapText="1"/>
      <protection hidden="1"/>
    </xf>
    <xf numFmtId="0" fontId="138" fillId="12" borderId="85" xfId="0" applyFont="1" applyFill="1" applyBorder="1" applyAlignment="1" applyProtection="1">
      <alignment horizontal="left" vertical="top" wrapText="1"/>
      <protection hidden="1"/>
    </xf>
    <xf numFmtId="0" fontId="138" fillId="2" borderId="94" xfId="0" applyFont="1" applyFill="1" applyBorder="1" applyAlignment="1" applyProtection="1">
      <alignment horizontal="left" vertical="top" wrapText="1"/>
      <protection hidden="1"/>
    </xf>
    <xf numFmtId="0" fontId="138" fillId="2" borderId="26" xfId="0" applyFont="1" applyFill="1" applyBorder="1" applyAlignment="1" applyProtection="1">
      <alignment horizontal="left" vertical="top" wrapText="1"/>
      <protection hidden="1"/>
    </xf>
    <xf numFmtId="0" fontId="11" fillId="2" borderId="7" xfId="0" applyFont="1" applyFill="1" applyBorder="1" applyAlignment="1" applyProtection="1">
      <alignment horizontal="centerContinuous"/>
      <protection hidden="1"/>
    </xf>
    <xf numFmtId="0" fontId="11" fillId="2" borderId="22" xfId="0" applyFont="1" applyFill="1" applyBorder="1" applyAlignment="1" applyProtection="1">
      <alignment horizontal="centerContinuous"/>
      <protection hidden="1"/>
    </xf>
    <xf numFmtId="0" fontId="11" fillId="6" borderId="17" xfId="0" applyFont="1" applyFill="1" applyBorder="1" applyProtection="1">
      <protection hidden="1"/>
    </xf>
    <xf numFmtId="0" fontId="40" fillId="6" borderId="17" xfId="0" applyFont="1" applyFill="1" applyBorder="1" applyAlignment="1" applyProtection="1">
      <alignment vertical="center"/>
      <protection hidden="1"/>
    </xf>
    <xf numFmtId="0" fontId="11" fillId="2" borderId="6" xfId="0" applyFont="1" applyFill="1" applyBorder="1" applyAlignment="1" applyProtection="1">
      <alignment horizontal="centerContinuous"/>
      <protection hidden="1"/>
    </xf>
    <xf numFmtId="0" fontId="0" fillId="4" borderId="0" xfId="0" applyFill="1" applyAlignment="1">
      <alignment horizontal="centerContinuous"/>
    </xf>
    <xf numFmtId="0" fontId="140" fillId="3" borderId="6" xfId="0" applyFont="1" applyFill="1" applyBorder="1" applyAlignment="1" applyProtection="1">
      <alignment horizontal="centerContinuous" vertical="center"/>
      <protection hidden="1"/>
    </xf>
    <xf numFmtId="0" fontId="0" fillId="3" borderId="82" xfId="0" applyFill="1" applyBorder="1"/>
    <xf numFmtId="0" fontId="7" fillId="4" borderId="0" xfId="0" applyFont="1" applyFill="1" applyProtection="1">
      <protection hidden="1"/>
    </xf>
    <xf numFmtId="0" fontId="7" fillId="4" borderId="0" xfId="0" applyFont="1" applyFill="1" applyAlignment="1" applyProtection="1">
      <alignment horizontal="center" vertical="top"/>
      <protection hidden="1"/>
    </xf>
    <xf numFmtId="165" fontId="7" fillId="4" borderId="0" xfId="0" applyNumberFormat="1" applyFont="1" applyFill="1" applyAlignment="1" applyProtection="1">
      <alignment horizontal="center" vertical="top"/>
      <protection hidden="1"/>
    </xf>
    <xf numFmtId="0" fontId="7" fillId="4" borderId="0" xfId="0" applyFont="1" applyFill="1" applyAlignment="1" applyProtection="1">
      <alignment horizontal="right" vertical="top" indent="1"/>
      <protection hidden="1"/>
    </xf>
    <xf numFmtId="164" fontId="7" fillId="4" borderId="0" xfId="0" applyNumberFormat="1" applyFont="1" applyFill="1" applyAlignment="1" applyProtection="1">
      <alignment horizontal="left" vertical="top"/>
      <protection hidden="1"/>
    </xf>
    <xf numFmtId="167" fontId="17" fillId="2" borderId="0" xfId="0" applyNumberFormat="1" applyFont="1" applyFill="1" applyAlignment="1" applyProtection="1">
      <alignment horizontal="center" vertical="center"/>
      <protection hidden="1"/>
    </xf>
    <xf numFmtId="184" fontId="17" fillId="2" borderId="0" xfId="0" applyNumberFormat="1" applyFont="1" applyFill="1" applyAlignment="1" applyProtection="1">
      <alignment horizontal="center" vertical="center"/>
      <protection hidden="1"/>
    </xf>
    <xf numFmtId="0" fontId="11" fillId="0" borderId="27" xfId="0" applyFont="1" applyBorder="1" applyProtection="1">
      <protection hidden="1"/>
    </xf>
    <xf numFmtId="185" fontId="142" fillId="0" borderId="0" xfId="0" applyNumberFormat="1" applyFont="1" applyAlignment="1" applyProtection="1">
      <alignment horizontal="center" vertical="center"/>
      <protection hidden="1"/>
    </xf>
    <xf numFmtId="0" fontId="18" fillId="2" borderId="22" xfId="0" applyFont="1" applyFill="1" applyBorder="1" applyProtection="1">
      <protection hidden="1"/>
    </xf>
    <xf numFmtId="0" fontId="74" fillId="9" borderId="76" xfId="0" applyFont="1" applyFill="1" applyBorder="1" applyAlignment="1" applyProtection="1">
      <alignment horizontal="center" vertical="center"/>
      <protection hidden="1"/>
    </xf>
    <xf numFmtId="167" fontId="141" fillId="2" borderId="30" xfId="0" applyNumberFormat="1" applyFont="1" applyFill="1" applyBorder="1" applyAlignment="1" applyProtection="1">
      <alignment horizontal="centerContinuous" vertical="top"/>
      <protection hidden="1"/>
    </xf>
    <xf numFmtId="0" fontId="9" fillId="2" borderId="0" xfId="0" applyFont="1" applyFill="1" applyProtection="1">
      <protection hidden="1"/>
    </xf>
    <xf numFmtId="0" fontId="147" fillId="2" borderId="0" xfId="0" applyFont="1" applyFill="1" applyAlignment="1" applyProtection="1">
      <alignment horizontal="right" vertical="center"/>
      <protection hidden="1"/>
    </xf>
    <xf numFmtId="0" fontId="22" fillId="2" borderId="0" xfId="0" applyFont="1" applyFill="1" applyAlignment="1" applyProtection="1">
      <alignment horizontal="left" vertical="center"/>
      <protection hidden="1"/>
    </xf>
    <xf numFmtId="0" fontId="52" fillId="2" borderId="0" xfId="0" applyFont="1" applyFill="1" applyAlignment="1" applyProtection="1">
      <alignment horizontal="center" vertical="center"/>
      <protection hidden="1"/>
    </xf>
    <xf numFmtId="0" fontId="52" fillId="2" borderId="0" xfId="0" applyFont="1" applyFill="1" applyProtection="1">
      <protection hidden="1"/>
    </xf>
    <xf numFmtId="0" fontId="143" fillId="2" borderId="0" xfId="0" applyFont="1" applyFill="1" applyProtection="1">
      <protection hidden="1"/>
    </xf>
    <xf numFmtId="0" fontId="57" fillId="2" borderId="28" xfId="0" applyFont="1" applyFill="1" applyBorder="1" applyAlignment="1" applyProtection="1">
      <alignment horizontal="centerContinuous"/>
      <protection hidden="1"/>
    </xf>
    <xf numFmtId="0" fontId="57" fillId="0" borderId="28" xfId="0" applyFont="1" applyBorder="1" applyAlignment="1" applyProtection="1">
      <alignment horizontal="centerContinuous"/>
      <protection hidden="1"/>
    </xf>
    <xf numFmtId="0" fontId="46" fillId="2" borderId="28" xfId="0" applyFont="1" applyFill="1" applyBorder="1" applyAlignment="1" applyProtection="1">
      <alignment horizontal="centerContinuous"/>
      <protection hidden="1"/>
    </xf>
    <xf numFmtId="0" fontId="46" fillId="0" borderId="26" xfId="0" applyFont="1" applyBorder="1" applyAlignment="1" applyProtection="1">
      <alignment horizontal="centerContinuous"/>
      <protection hidden="1"/>
    </xf>
    <xf numFmtId="167" fontId="10" fillId="2" borderId="30" xfId="0" applyNumberFormat="1" applyFont="1" applyFill="1" applyBorder="1" applyAlignment="1" applyProtection="1">
      <alignment horizontal="centerContinuous" vertical="top"/>
      <protection hidden="1"/>
    </xf>
    <xf numFmtId="167" fontId="24" fillId="2" borderId="76" xfId="0" applyNumberFormat="1" applyFont="1" applyFill="1" applyBorder="1" applyAlignment="1" applyProtection="1">
      <alignment horizontal="centerContinuous" vertical="center"/>
      <protection hidden="1"/>
    </xf>
    <xf numFmtId="0" fontId="54" fillId="2" borderId="46" xfId="0" applyFont="1" applyFill="1" applyBorder="1" applyAlignment="1" applyProtection="1">
      <alignment horizontal="center" vertical="center" wrapText="1"/>
      <protection hidden="1"/>
    </xf>
    <xf numFmtId="0" fontId="71" fillId="2" borderId="7" xfId="0" applyFont="1" applyFill="1" applyBorder="1" applyProtection="1">
      <protection hidden="1"/>
    </xf>
    <xf numFmtId="0" fontId="73" fillId="2" borderId="0" xfId="0" applyFont="1" applyFill="1" applyAlignment="1" applyProtection="1">
      <alignment horizontal="left" vertical="center"/>
      <protection hidden="1"/>
    </xf>
    <xf numFmtId="0" fontId="73" fillId="2" borderId="0" xfId="0" applyFont="1" applyFill="1" applyAlignment="1" applyProtection="1">
      <alignment horizontal="center" vertical="center"/>
      <protection hidden="1"/>
    </xf>
    <xf numFmtId="0" fontId="73" fillId="2" borderId="0" xfId="0" applyFont="1" applyFill="1" applyAlignment="1" applyProtection="1">
      <alignment horizontal="left" vertical="center" indent="1"/>
      <protection hidden="1"/>
    </xf>
    <xf numFmtId="0" fontId="71" fillId="2" borderId="22" xfId="0" applyFont="1" applyFill="1" applyBorder="1" applyProtection="1">
      <protection hidden="1"/>
    </xf>
    <xf numFmtId="167" fontId="78" fillId="2" borderId="0" xfId="0" applyNumberFormat="1" applyFont="1" applyFill="1" applyAlignment="1" applyProtection="1">
      <alignment horizontal="center" vertical="center"/>
      <protection hidden="1"/>
    </xf>
    <xf numFmtId="184" fontId="78" fillId="2" borderId="0" xfId="0" applyNumberFormat="1" applyFont="1" applyFill="1" applyAlignment="1" applyProtection="1">
      <alignment horizontal="center" vertical="center"/>
      <protection hidden="1"/>
    </xf>
    <xf numFmtId="0" fontId="73" fillId="2" borderId="0" xfId="0" applyFont="1" applyFill="1" applyAlignment="1" applyProtection="1">
      <alignment horizontal="left" vertical="center" indent="3"/>
      <protection hidden="1"/>
    </xf>
    <xf numFmtId="0" fontId="84" fillId="2" borderId="0" xfId="0" applyFont="1" applyFill="1" applyAlignment="1" applyProtection="1">
      <alignment horizontal="center" vertical="center"/>
      <protection hidden="1"/>
    </xf>
    <xf numFmtId="0" fontId="73" fillId="2" borderId="0" xfId="0" applyFont="1" applyFill="1" applyProtection="1">
      <protection hidden="1"/>
    </xf>
    <xf numFmtId="0" fontId="89" fillId="2" borderId="0" xfId="0" applyFont="1" applyFill="1" applyAlignment="1" applyProtection="1">
      <alignment horizontal="left" vertical="center"/>
      <protection hidden="1"/>
    </xf>
    <xf numFmtId="0" fontId="90" fillId="2" borderId="0" xfId="0" applyFont="1" applyFill="1" applyAlignment="1" applyProtection="1">
      <alignment horizontal="left" vertical="center"/>
      <protection hidden="1"/>
    </xf>
    <xf numFmtId="0" fontId="89" fillId="2" borderId="0" xfId="0" applyFont="1" applyFill="1" applyAlignment="1" applyProtection="1">
      <alignment horizontal="center" vertical="center"/>
      <protection hidden="1"/>
    </xf>
    <xf numFmtId="0" fontId="89" fillId="2" borderId="0" xfId="0" applyFont="1" applyFill="1" applyProtection="1">
      <protection hidden="1"/>
    </xf>
    <xf numFmtId="165" fontId="91" fillId="2" borderId="0" xfId="0" applyNumberFormat="1" applyFont="1" applyFill="1" applyAlignment="1" applyProtection="1">
      <alignment horizontal="center" vertical="top"/>
      <protection hidden="1"/>
    </xf>
    <xf numFmtId="1" fontId="71" fillId="2" borderId="0" xfId="0" applyNumberFormat="1" applyFont="1" applyFill="1" applyAlignment="1" applyProtection="1">
      <alignment horizontal="right" vertical="top" indent="1"/>
      <protection hidden="1"/>
    </xf>
    <xf numFmtId="164" fontId="89" fillId="2" borderId="0" xfId="0" applyNumberFormat="1" applyFont="1" applyFill="1" applyAlignment="1" applyProtection="1">
      <alignment horizontal="left" vertical="top"/>
      <protection hidden="1"/>
    </xf>
    <xf numFmtId="1" fontId="89" fillId="2" borderId="0" xfId="0" applyNumberFormat="1" applyFont="1" applyFill="1" applyAlignment="1" applyProtection="1">
      <alignment horizontal="right" vertical="top" indent="1"/>
      <protection hidden="1"/>
    </xf>
    <xf numFmtId="0" fontId="92" fillId="2" borderId="0" xfId="0" applyFont="1" applyFill="1" applyAlignment="1" applyProtection="1">
      <alignment horizontal="right" vertical="center"/>
      <protection hidden="1"/>
    </xf>
    <xf numFmtId="0" fontId="93" fillId="2" borderId="0" xfId="0" applyFont="1" applyFill="1" applyAlignment="1" applyProtection="1">
      <alignment horizontal="left" vertical="center"/>
      <protection hidden="1"/>
    </xf>
    <xf numFmtId="0" fontId="71" fillId="2" borderId="0" xfId="0" applyFont="1" applyFill="1" applyAlignment="1" applyProtection="1">
      <alignment horizontal="left" vertical="center"/>
      <protection hidden="1"/>
    </xf>
    <xf numFmtId="0" fontId="73" fillId="2" borderId="0" xfId="0" applyFont="1" applyFill="1" applyAlignment="1" applyProtection="1">
      <alignment horizontal="center"/>
      <protection hidden="1"/>
    </xf>
    <xf numFmtId="2" fontId="73" fillId="2" borderId="0" xfId="0" applyNumberFormat="1" applyFont="1" applyFill="1" applyAlignment="1" applyProtection="1">
      <alignment horizontal="center"/>
      <protection hidden="1"/>
    </xf>
    <xf numFmtId="0" fontId="73" fillId="2" borderId="0" xfId="0" applyFont="1" applyFill="1" applyAlignment="1" applyProtection="1">
      <alignment horizontal="left"/>
      <protection hidden="1"/>
    </xf>
    <xf numFmtId="165" fontId="84" fillId="2" borderId="0" xfId="0" applyNumberFormat="1" applyFont="1" applyFill="1" applyAlignment="1" applyProtection="1">
      <alignment horizontal="center" vertical="top"/>
      <protection hidden="1"/>
    </xf>
    <xf numFmtId="1" fontId="91" fillId="2" borderId="0" xfId="0" applyNumberFormat="1" applyFont="1" applyFill="1" applyAlignment="1" applyProtection="1">
      <alignment horizontal="right" vertical="top" indent="1"/>
      <protection hidden="1"/>
    </xf>
    <xf numFmtId="1" fontId="91" fillId="10" borderId="0" xfId="0" applyNumberFormat="1" applyFont="1" applyFill="1" applyAlignment="1" applyProtection="1">
      <alignment horizontal="right" vertical="top" indent="1"/>
      <protection hidden="1"/>
    </xf>
    <xf numFmtId="164" fontId="94" fillId="2" borderId="0" xfId="0" applyNumberFormat="1" applyFont="1" applyFill="1" applyAlignment="1" applyProtection="1">
      <alignment horizontal="left" vertical="top"/>
      <protection hidden="1"/>
    </xf>
    <xf numFmtId="1" fontId="94" fillId="2" borderId="0" xfId="0" applyNumberFormat="1" applyFont="1" applyFill="1" applyAlignment="1" applyProtection="1">
      <alignment horizontal="right" vertical="top" indent="1"/>
      <protection hidden="1"/>
    </xf>
    <xf numFmtId="0" fontId="95" fillId="2" borderId="0" xfId="0" applyFont="1" applyFill="1" applyAlignment="1" applyProtection="1">
      <alignment horizontal="left" vertical="center"/>
      <protection hidden="1"/>
    </xf>
    <xf numFmtId="0" fontId="96" fillId="2" borderId="0" xfId="0" applyFont="1" applyFill="1" applyProtection="1">
      <protection hidden="1"/>
    </xf>
    <xf numFmtId="0" fontId="89" fillId="2" borderId="0" xfId="0" applyFont="1" applyFill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Continuous"/>
      <protection hidden="1"/>
    </xf>
    <xf numFmtId="0" fontId="71" fillId="2" borderId="0" xfId="0" applyFont="1" applyFill="1" applyAlignment="1" applyProtection="1">
      <alignment horizontal="centerContinuous"/>
      <protection hidden="1"/>
    </xf>
    <xf numFmtId="0" fontId="71" fillId="2" borderId="19" xfId="0" applyFont="1" applyFill="1" applyBorder="1" applyProtection="1">
      <protection hidden="1"/>
    </xf>
    <xf numFmtId="0" fontId="71" fillId="2" borderId="20" xfId="0" applyFont="1" applyFill="1" applyBorder="1" applyProtection="1">
      <protection hidden="1"/>
    </xf>
    <xf numFmtId="0" fontId="73" fillId="2" borderId="7" xfId="0" applyFont="1" applyFill="1" applyBorder="1" applyProtection="1">
      <protection hidden="1"/>
    </xf>
    <xf numFmtId="0" fontId="128" fillId="2" borderId="0" xfId="0" applyFont="1" applyFill="1" applyAlignment="1" applyProtection="1">
      <alignment horizontal="centerContinuous"/>
      <protection hidden="1"/>
    </xf>
    <xf numFmtId="0" fontId="129" fillId="2" borderId="0" xfId="0" applyFont="1" applyFill="1" applyAlignment="1" applyProtection="1">
      <alignment horizontal="centerContinuous"/>
      <protection hidden="1"/>
    </xf>
    <xf numFmtId="0" fontId="128" fillId="2" borderId="0" xfId="0" applyFont="1" applyFill="1" applyAlignment="1" applyProtection="1">
      <alignment horizontal="centerContinuous" vertical="top"/>
      <protection hidden="1"/>
    </xf>
    <xf numFmtId="0" fontId="129" fillId="2" borderId="0" xfId="0" applyFont="1" applyFill="1" applyProtection="1">
      <protection hidden="1"/>
    </xf>
    <xf numFmtId="0" fontId="71" fillId="2" borderId="0" xfId="0" applyFont="1" applyFill="1" applyAlignment="1" applyProtection="1">
      <alignment horizontal="centerContinuous" vertical="center"/>
      <protection hidden="1"/>
    </xf>
    <xf numFmtId="0" fontId="129" fillId="2" borderId="0" xfId="0" applyFont="1" applyFill="1" applyAlignment="1" applyProtection="1">
      <alignment horizontal="center" vertical="top"/>
      <protection hidden="1"/>
    </xf>
    <xf numFmtId="1" fontId="71" fillId="2" borderId="0" xfId="0" applyNumberFormat="1" applyFont="1" applyFill="1" applyAlignment="1" applyProtection="1">
      <alignment horizontal="center" vertical="center"/>
      <protection hidden="1"/>
    </xf>
    <xf numFmtId="164" fontId="71" fillId="2" borderId="0" xfId="0" applyNumberFormat="1" applyFont="1" applyFill="1" applyAlignment="1" applyProtection="1">
      <alignment horizontal="left" vertical="center"/>
      <protection hidden="1"/>
    </xf>
    <xf numFmtId="164" fontId="110" fillId="2" borderId="0" xfId="0" applyNumberFormat="1" applyFont="1" applyFill="1" applyAlignment="1" applyProtection="1">
      <alignment vertical="top"/>
      <protection hidden="1"/>
    </xf>
    <xf numFmtId="0" fontId="110" fillId="2" borderId="0" xfId="0" applyFont="1" applyFill="1" applyAlignment="1" applyProtection="1">
      <alignment vertical="top"/>
      <protection hidden="1"/>
    </xf>
    <xf numFmtId="0" fontId="8" fillId="3" borderId="0" xfId="0" applyFont="1" applyFill="1" applyAlignment="1" applyProtection="1">
      <alignment horizontal="left" vertical="center"/>
      <protection hidden="1"/>
    </xf>
    <xf numFmtId="166" fontId="8" fillId="3" borderId="0" xfId="0" applyNumberFormat="1" applyFont="1" applyFill="1" applyAlignment="1" applyProtection="1">
      <alignment horizontal="center" vertical="center"/>
      <protection hidden="1"/>
    </xf>
    <xf numFmtId="164" fontId="8" fillId="3" borderId="0" xfId="0" applyNumberFormat="1" applyFont="1" applyFill="1" applyAlignment="1" applyProtection="1">
      <alignment horizontal="center" vertical="center"/>
      <protection hidden="1"/>
    </xf>
    <xf numFmtId="0" fontId="61" fillId="2" borderId="71" xfId="0" applyFont="1" applyFill="1" applyBorder="1" applyAlignment="1" applyProtection="1">
      <alignment horizontal="center" vertical="center"/>
      <protection hidden="1"/>
    </xf>
    <xf numFmtId="167" fontId="51" fillId="2" borderId="0" xfId="0" applyNumberFormat="1" applyFont="1" applyFill="1" applyAlignment="1" applyProtection="1">
      <alignment horizontal="left" vertical="center" indent="3"/>
      <protection hidden="1"/>
    </xf>
    <xf numFmtId="0" fontId="31" fillId="2" borderId="27" xfId="0" applyFont="1" applyFill="1" applyBorder="1" applyAlignment="1">
      <alignment horizontal="centerContinuous" vertical="center"/>
    </xf>
    <xf numFmtId="0" fontId="11" fillId="2" borderId="0" xfId="0" applyFont="1" applyFill="1" applyAlignment="1" applyProtection="1">
      <alignment horizontal="left" vertical="center"/>
      <protection hidden="1"/>
    </xf>
    <xf numFmtId="0" fontId="60" fillId="2" borderId="74" xfId="0" applyFont="1" applyFill="1" applyBorder="1" applyAlignment="1">
      <alignment vertical="center"/>
    </xf>
    <xf numFmtId="173" fontId="60" fillId="2" borderId="11" xfId="0" applyNumberFormat="1" applyFont="1" applyFill="1" applyBorder="1" applyAlignment="1">
      <alignment vertical="center"/>
    </xf>
    <xf numFmtId="0" fontId="143" fillId="2" borderId="11" xfId="0" applyFont="1" applyFill="1" applyBorder="1" applyAlignment="1">
      <alignment vertical="center"/>
    </xf>
    <xf numFmtId="0" fontId="25" fillId="2" borderId="0" xfId="0" applyFont="1" applyFill="1" applyAlignment="1">
      <alignment horizontal="right" vertical="center"/>
    </xf>
    <xf numFmtId="179" fontId="25" fillId="2" borderId="0" xfId="0" applyNumberFormat="1" applyFont="1" applyFill="1" applyAlignment="1">
      <alignment horizontal="left" vertical="center"/>
    </xf>
    <xf numFmtId="178" fontId="25" fillId="2" borderId="0" xfId="0" applyNumberFormat="1" applyFont="1" applyFill="1" applyAlignment="1">
      <alignment horizontal="left" vertical="center"/>
    </xf>
    <xf numFmtId="0" fontId="25" fillId="2" borderId="0" xfId="0" applyFont="1" applyFill="1" applyAlignment="1">
      <alignment vertical="center"/>
    </xf>
    <xf numFmtId="0" fontId="45" fillId="2" borderId="0" xfId="0" applyFont="1" applyFill="1" applyAlignment="1" applyProtection="1">
      <alignment horizontal="left" vertical="center"/>
      <protection hidden="1"/>
    </xf>
    <xf numFmtId="0" fontId="51" fillId="0" borderId="55" xfId="0" applyFont="1" applyBorder="1" applyAlignment="1" applyProtection="1">
      <alignment horizontal="left" vertical="center" indent="1"/>
      <protection hidden="1"/>
    </xf>
    <xf numFmtId="169" fontId="51" fillId="0" borderId="33" xfId="0" applyNumberFormat="1" applyFont="1" applyBorder="1" applyAlignment="1" applyProtection="1">
      <alignment horizontal="center" vertical="center"/>
      <protection hidden="1"/>
    </xf>
    <xf numFmtId="3" fontId="51" fillId="0" borderId="33" xfId="0" applyNumberFormat="1" applyFont="1" applyBorder="1" applyAlignment="1" applyProtection="1">
      <alignment horizontal="center" vertical="center"/>
      <protection hidden="1"/>
    </xf>
    <xf numFmtId="4" fontId="22" fillId="0" borderId="33" xfId="0" applyNumberFormat="1" applyFont="1" applyBorder="1" applyAlignment="1" applyProtection="1">
      <alignment horizontal="center" vertical="center"/>
      <protection hidden="1"/>
    </xf>
    <xf numFmtId="3" fontId="22" fillId="0" borderId="14" xfId="0" applyNumberFormat="1" applyFont="1" applyBorder="1" applyAlignment="1" applyProtection="1">
      <alignment horizontal="center" vertical="center"/>
      <protection hidden="1"/>
    </xf>
    <xf numFmtId="0" fontId="25" fillId="8" borderId="0" xfId="0" applyFont="1" applyFill="1" applyProtection="1">
      <protection hidden="1"/>
    </xf>
    <xf numFmtId="165" fontId="31" fillId="2" borderId="95" xfId="0" applyNumberFormat="1" applyFont="1" applyFill="1" applyBorder="1" applyAlignment="1" applyProtection="1">
      <alignment horizontal="center" vertical="center" wrapText="1"/>
      <protection hidden="1"/>
    </xf>
    <xf numFmtId="176" fontId="31" fillId="2" borderId="96" xfId="0" applyNumberFormat="1" applyFont="1" applyFill="1" applyBorder="1" applyAlignment="1" applyProtection="1">
      <alignment horizontal="center" vertical="center"/>
      <protection hidden="1"/>
    </xf>
    <xf numFmtId="176" fontId="59" fillId="2" borderId="97" xfId="0" applyNumberFormat="1" applyFont="1" applyFill="1" applyBorder="1" applyAlignment="1" applyProtection="1">
      <alignment horizontal="center" vertical="center"/>
      <protection hidden="1"/>
    </xf>
    <xf numFmtId="176" fontId="31" fillId="2" borderId="98" xfId="0" applyNumberFormat="1" applyFont="1" applyFill="1" applyBorder="1" applyAlignment="1" applyProtection="1">
      <alignment horizontal="center" vertical="center"/>
      <protection hidden="1"/>
    </xf>
    <xf numFmtId="1" fontId="31" fillId="2" borderId="42" xfId="0" applyNumberFormat="1" applyFont="1" applyFill="1" applyBorder="1" applyAlignment="1" applyProtection="1">
      <alignment horizontal="center" vertical="center" wrapText="1"/>
      <protection hidden="1"/>
    </xf>
    <xf numFmtId="164" fontId="31" fillId="2" borderId="95" xfId="0" applyNumberFormat="1" applyFont="1" applyFill="1" applyBorder="1" applyAlignment="1" applyProtection="1">
      <alignment horizontal="center" vertical="center" wrapText="1"/>
      <protection hidden="1"/>
    </xf>
    <xf numFmtId="176" fontId="11" fillId="2" borderId="97" xfId="0" applyNumberFormat="1" applyFont="1" applyFill="1" applyBorder="1" applyAlignment="1" applyProtection="1">
      <alignment horizontal="center" vertical="center"/>
      <protection hidden="1"/>
    </xf>
    <xf numFmtId="176" fontId="31" fillId="2" borderId="36" xfId="0" applyNumberFormat="1" applyFont="1" applyFill="1" applyBorder="1" applyAlignment="1" applyProtection="1">
      <alignment horizontal="center" vertical="center"/>
      <protection hidden="1"/>
    </xf>
    <xf numFmtId="176" fontId="59" fillId="2" borderId="99" xfId="0" applyNumberFormat="1" applyFont="1" applyFill="1" applyBorder="1" applyAlignment="1" applyProtection="1">
      <alignment horizontal="center" vertical="center"/>
      <protection hidden="1"/>
    </xf>
    <xf numFmtId="176" fontId="31" fillId="2" borderId="0" xfId="0" applyNumberFormat="1" applyFont="1" applyFill="1" applyAlignment="1" applyProtection="1">
      <alignment horizontal="center" vertical="center"/>
      <protection hidden="1"/>
    </xf>
    <xf numFmtId="0" fontId="11" fillId="2" borderId="59" xfId="0" applyFont="1" applyFill="1" applyBorder="1" applyAlignment="1">
      <alignment horizontal="center" vertical="center"/>
    </xf>
    <xf numFmtId="172" fontId="11" fillId="2" borderId="25" xfId="1" applyNumberFormat="1" applyFont="1" applyFill="1" applyBorder="1" applyAlignment="1">
      <alignment horizontal="right" vertical="center" indent="1"/>
    </xf>
    <xf numFmtId="172" fontId="11" fillId="2" borderId="67" xfId="1" applyNumberFormat="1" applyFont="1" applyFill="1" applyBorder="1" applyAlignment="1">
      <alignment horizontal="right" vertical="center" indent="1"/>
    </xf>
    <xf numFmtId="172" fontId="11" fillId="2" borderId="58" xfId="1" applyNumberFormat="1" applyFont="1" applyFill="1" applyBorder="1" applyAlignment="1">
      <alignment horizontal="right" vertical="center" indent="1"/>
    </xf>
    <xf numFmtId="172" fontId="60" fillId="2" borderId="75" xfId="1" applyNumberFormat="1" applyFont="1" applyFill="1" applyBorder="1" applyAlignment="1">
      <alignment horizontal="right" vertical="center" indent="1"/>
    </xf>
    <xf numFmtId="172" fontId="67" fillId="2" borderId="14" xfId="1" applyNumberFormat="1" applyFont="1" applyFill="1" applyBorder="1" applyAlignment="1">
      <alignment horizontal="right" vertical="center" indent="1"/>
    </xf>
    <xf numFmtId="0" fontId="11" fillId="2" borderId="25" xfId="0" applyFont="1" applyFill="1" applyBorder="1" applyAlignment="1">
      <alignment horizontal="center" vertical="center"/>
    </xf>
    <xf numFmtId="0" fontId="31" fillId="7" borderId="17" xfId="0" applyFont="1" applyFill="1" applyBorder="1" applyProtection="1">
      <protection hidden="1"/>
    </xf>
    <xf numFmtId="0" fontId="40" fillId="7" borderId="18" xfId="0" applyFont="1" applyFill="1" applyBorder="1" applyAlignment="1" applyProtection="1">
      <alignment horizontal="right" vertical="center" indent="1"/>
      <protection hidden="1"/>
    </xf>
    <xf numFmtId="0" fontId="31" fillId="6" borderId="17" xfId="0" applyFont="1" applyFill="1" applyBorder="1" applyProtection="1">
      <protection hidden="1"/>
    </xf>
    <xf numFmtId="0" fontId="40" fillId="6" borderId="18" xfId="0" applyFont="1" applyFill="1" applyBorder="1" applyAlignment="1" applyProtection="1">
      <alignment horizontal="right" vertical="center" indent="1"/>
      <protection hidden="1"/>
    </xf>
    <xf numFmtId="3" fontId="13" fillId="2" borderId="14" xfId="0" applyNumberFormat="1" applyFont="1" applyFill="1" applyBorder="1" applyAlignment="1" applyProtection="1">
      <alignment horizontal="center" vertical="center"/>
      <protection hidden="1"/>
    </xf>
    <xf numFmtId="0" fontId="0" fillId="3" borderId="6" xfId="0" applyFill="1" applyBorder="1"/>
    <xf numFmtId="0" fontId="0" fillId="3" borderId="0" xfId="0" applyFill="1"/>
    <xf numFmtId="0" fontId="0" fillId="3" borderId="15" xfId="0" applyFill="1" applyBorder="1"/>
    <xf numFmtId="167" fontId="22" fillId="2" borderId="0" xfId="0" applyNumberFormat="1" applyFont="1" applyFill="1" applyAlignment="1" applyProtection="1">
      <alignment horizontal="left" vertical="center" indent="3"/>
      <protection hidden="1"/>
    </xf>
    <xf numFmtId="185" fontId="54" fillId="0" borderId="0" xfId="0" applyNumberFormat="1" applyFont="1" applyAlignment="1" applyProtection="1">
      <alignment horizontal="center" vertical="center"/>
      <protection hidden="1"/>
    </xf>
    <xf numFmtId="167" fontId="22" fillId="2" borderId="0" xfId="0" applyNumberFormat="1" applyFont="1" applyFill="1" applyAlignment="1" applyProtection="1">
      <alignment horizontal="right" vertical="center" indent="1"/>
      <protection hidden="1"/>
    </xf>
    <xf numFmtId="0" fontId="38" fillId="8" borderId="0" xfId="0" applyFont="1" applyFill="1" applyAlignment="1" applyProtection="1">
      <alignment vertical="center"/>
      <protection hidden="1"/>
    </xf>
    <xf numFmtId="0" fontId="11" fillId="2" borderId="47" xfId="0" applyFont="1" applyFill="1" applyBorder="1" applyAlignment="1" applyProtection="1">
      <alignment horizontal="right" vertical="center" indent="1"/>
      <protection hidden="1"/>
    </xf>
    <xf numFmtId="0" fontId="11" fillId="2" borderId="45" xfId="0" applyFont="1" applyFill="1" applyBorder="1" applyAlignment="1" applyProtection="1">
      <alignment horizontal="right" vertical="center" indent="1"/>
      <protection hidden="1"/>
    </xf>
    <xf numFmtId="0" fontId="25" fillId="2" borderId="45" xfId="0" applyFont="1" applyFill="1" applyBorder="1" applyAlignment="1" applyProtection="1">
      <alignment horizontal="right" vertical="center" indent="1"/>
      <protection hidden="1"/>
    </xf>
    <xf numFmtId="0" fontId="0" fillId="2" borderId="46" xfId="0" applyFill="1" applyBorder="1" applyAlignment="1" applyProtection="1">
      <alignment horizontal="right" vertical="center" indent="1"/>
      <protection hidden="1"/>
    </xf>
    <xf numFmtId="181" fontId="25" fillId="2" borderId="34" xfId="0" applyNumberFormat="1" applyFont="1" applyFill="1" applyBorder="1" applyAlignment="1" applyProtection="1">
      <alignment horizontal="center" vertical="center"/>
      <protection hidden="1"/>
    </xf>
    <xf numFmtId="182" fontId="25" fillId="2" borderId="25" xfId="0" applyNumberFormat="1" applyFont="1" applyFill="1" applyBorder="1" applyAlignment="1" applyProtection="1">
      <alignment horizontal="center" vertical="center"/>
      <protection hidden="1"/>
    </xf>
    <xf numFmtId="173" fontId="23" fillId="0" borderId="8" xfId="0" applyNumberFormat="1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>
      <alignment horizontal="center" vertical="center"/>
    </xf>
    <xf numFmtId="174" fontId="23" fillId="0" borderId="8" xfId="0" applyNumberFormat="1" applyFont="1" applyBorder="1" applyAlignment="1" applyProtection="1">
      <alignment horizontal="center" vertical="center"/>
      <protection hidden="1"/>
    </xf>
    <xf numFmtId="174" fontId="23" fillId="0" borderId="10" xfId="0" applyNumberFormat="1" applyFont="1" applyBorder="1" applyAlignment="1" applyProtection="1">
      <alignment horizontal="center" vertical="center"/>
      <protection hidden="1"/>
    </xf>
    <xf numFmtId="0" fontId="43" fillId="0" borderId="8" xfId="0" applyFont="1" applyBorder="1" applyAlignment="1" applyProtection="1">
      <alignment horizontal="center" vertical="center"/>
      <protection hidden="1"/>
    </xf>
    <xf numFmtId="14" fontId="43" fillId="0" borderId="8" xfId="0" applyNumberFormat="1" applyFont="1" applyBorder="1" applyAlignment="1" applyProtection="1">
      <alignment horizontal="center" vertical="center"/>
      <protection hidden="1"/>
    </xf>
    <xf numFmtId="0" fontId="26" fillId="8" borderId="0" xfId="0" applyFont="1" applyFill="1" applyAlignment="1" applyProtection="1">
      <alignment horizontal="center"/>
      <protection hidden="1"/>
    </xf>
    <xf numFmtId="0" fontId="54" fillId="8" borderId="0" xfId="0" applyFont="1" applyFill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wrapText="1"/>
      <protection hidden="1"/>
    </xf>
    <xf numFmtId="0" fontId="0" fillId="0" borderId="0" xfId="0" applyAlignment="1">
      <alignment horizontal="center" wrapText="1"/>
    </xf>
    <xf numFmtId="0" fontId="63" fillId="0" borderId="5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3" fillId="0" borderId="4" xfId="0" applyFont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8" fillId="8" borderId="0" xfId="0" applyFont="1" applyFill="1" applyAlignment="1" applyProtection="1">
      <alignment horizontal="center" vertical="center"/>
      <protection hidden="1"/>
    </xf>
    <xf numFmtId="0" fontId="14" fillId="8" borderId="0" xfId="0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9" fillId="2" borderId="2" xfId="0" applyFont="1" applyFill="1" applyBorder="1" applyAlignment="1" applyProtection="1">
      <alignment horizontal="center" vertical="top"/>
      <protection hidden="1"/>
    </xf>
    <xf numFmtId="168" fontId="29" fillId="2" borderId="0" xfId="0" applyNumberFormat="1" applyFont="1" applyFill="1" applyAlignment="1" applyProtection="1">
      <alignment horizontal="left" vertical="center"/>
      <protection hidden="1"/>
    </xf>
    <xf numFmtId="0" fontId="0" fillId="0" borderId="0" xfId="0"/>
    <xf numFmtId="0" fontId="20" fillId="2" borderId="5" xfId="0" applyFont="1" applyFill="1" applyBorder="1" applyAlignment="1" applyProtection="1">
      <alignment horizontal="center" vertical="center"/>
      <protection hidden="1"/>
    </xf>
    <xf numFmtId="0" fontId="11" fillId="0" borderId="6" xfId="0" applyFont="1" applyBorder="1" applyProtection="1">
      <protection hidden="1"/>
    </xf>
    <xf numFmtId="0" fontId="11" fillId="0" borderId="29" xfId="0" applyFont="1" applyBorder="1" applyProtection="1">
      <protection hidden="1"/>
    </xf>
    <xf numFmtId="0" fontId="34" fillId="5" borderId="16" xfId="0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38" fillId="8" borderId="15" xfId="0" applyFont="1" applyFill="1" applyBorder="1" applyAlignment="1" applyProtection="1">
      <alignment horizontal="center"/>
      <protection hidden="1"/>
    </xf>
    <xf numFmtId="0" fontId="11" fillId="0" borderId="15" xfId="0" applyFont="1" applyBorder="1" applyProtection="1">
      <protection hidden="1"/>
    </xf>
    <xf numFmtId="167" fontId="40" fillId="0" borderId="0" xfId="0" applyNumberFormat="1" applyFont="1" applyAlignment="1" applyProtection="1">
      <alignment horizontal="right" vertical="center"/>
      <protection hidden="1"/>
    </xf>
    <xf numFmtId="167" fontId="15" fillId="0" borderId="0" xfId="0" applyNumberFormat="1" applyFont="1" applyAlignment="1" applyProtection="1">
      <alignment horizontal="right"/>
      <protection hidden="1"/>
    </xf>
    <xf numFmtId="186" fontId="51" fillId="0" borderId="0" xfId="0" applyNumberFormat="1" applyFont="1" applyAlignment="1" applyProtection="1">
      <alignment horizontal="left" vertical="center"/>
      <protection hidden="1"/>
    </xf>
    <xf numFmtId="0" fontId="15" fillId="0" borderId="0" xfId="0" applyFont="1" applyProtection="1">
      <protection hidden="1"/>
    </xf>
    <xf numFmtId="194" fontId="150" fillId="2" borderId="0" xfId="0" applyNumberFormat="1" applyFont="1" applyFill="1" applyAlignment="1" applyProtection="1">
      <alignment horizontal="left" vertical="center"/>
      <protection hidden="1"/>
    </xf>
    <xf numFmtId="0" fontId="40" fillId="7" borderId="6" xfId="0" applyFont="1" applyFill="1" applyBorder="1" applyAlignment="1" applyProtection="1">
      <alignment vertical="center"/>
      <protection hidden="1"/>
    </xf>
    <xf numFmtId="0" fontId="31" fillId="7" borderId="6" xfId="0" applyFont="1" applyFill="1" applyBorder="1" applyProtection="1">
      <protection hidden="1"/>
    </xf>
    <xf numFmtId="0" fontId="31" fillId="7" borderId="7" xfId="0" applyFont="1" applyFill="1" applyBorder="1" applyProtection="1">
      <protection hidden="1"/>
    </xf>
    <xf numFmtId="0" fontId="31" fillId="7" borderId="20" xfId="0" applyFont="1" applyFill="1" applyBorder="1" applyProtection="1">
      <protection hidden="1"/>
    </xf>
    <xf numFmtId="0" fontId="31" fillId="7" borderId="21" xfId="0" applyFont="1" applyFill="1" applyBorder="1" applyProtection="1">
      <protection hidden="1"/>
    </xf>
    <xf numFmtId="175" fontId="34" fillId="6" borderId="6" xfId="0" applyNumberFormat="1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hidden="1"/>
    </xf>
    <xf numFmtId="0" fontId="75" fillId="2" borderId="2" xfId="0" applyFont="1" applyFill="1" applyBorder="1" applyAlignment="1" applyProtection="1">
      <alignment horizontal="right" vertical="top"/>
      <protection hidden="1"/>
    </xf>
    <xf numFmtId="0" fontId="75" fillId="0" borderId="2" xfId="0" applyFont="1" applyBorder="1" applyAlignment="1" applyProtection="1">
      <alignment vertical="top"/>
      <protection hidden="1"/>
    </xf>
    <xf numFmtId="167" fontId="22" fillId="0" borderId="70" xfId="0" applyNumberFormat="1" applyFont="1" applyBorder="1" applyAlignment="1" applyProtection="1">
      <alignment horizontal="left" vertical="center"/>
      <protection hidden="1"/>
    </xf>
    <xf numFmtId="0" fontId="112" fillId="3" borderId="87" xfId="0" applyFont="1" applyFill="1" applyBorder="1" applyAlignment="1" applyProtection="1">
      <alignment horizontal="left" vertical="top" wrapText="1"/>
      <protection hidden="1"/>
    </xf>
    <xf numFmtId="0" fontId="112" fillId="0" borderId="88" xfId="0" applyFont="1" applyBorder="1" applyAlignment="1" applyProtection="1">
      <alignment wrapText="1"/>
      <protection hidden="1"/>
    </xf>
    <xf numFmtId="175" fontId="34" fillId="7" borderId="17" xfId="0" applyNumberFormat="1" applyFont="1" applyFill="1" applyBorder="1" applyAlignment="1" applyProtection="1">
      <alignment horizontal="center" vertical="center"/>
      <protection hidden="1"/>
    </xf>
    <xf numFmtId="0" fontId="11" fillId="0" borderId="17" xfId="0" applyFont="1" applyBorder="1" applyProtection="1">
      <protection hidden="1"/>
    </xf>
    <xf numFmtId="175" fontId="34" fillId="6" borderId="17" xfId="0" applyNumberFormat="1" applyFont="1" applyFill="1" applyBorder="1" applyAlignment="1" applyProtection="1">
      <alignment horizontal="center" vertical="center"/>
      <protection hidden="1"/>
    </xf>
    <xf numFmtId="0" fontId="11" fillId="0" borderId="17" xfId="0" applyFont="1" applyBorder="1" applyAlignment="1" applyProtection="1">
      <alignment vertical="center"/>
      <protection hidden="1"/>
    </xf>
    <xf numFmtId="175" fontId="146" fillId="6" borderId="20" xfId="0" applyNumberFormat="1" applyFont="1" applyFill="1" applyBorder="1" applyAlignment="1" applyProtection="1">
      <alignment horizontal="center"/>
      <protection hidden="1"/>
    </xf>
    <xf numFmtId="0" fontId="11" fillId="6" borderId="20" xfId="0" applyFont="1" applyFill="1" applyBorder="1" applyProtection="1">
      <protection hidden="1"/>
    </xf>
    <xf numFmtId="167" fontId="79" fillId="0" borderId="0" xfId="0" applyNumberFormat="1" applyFont="1" applyAlignment="1" applyProtection="1">
      <alignment horizontal="center" vertical="center"/>
      <protection hidden="1"/>
    </xf>
    <xf numFmtId="167" fontId="0" fillId="0" borderId="0" xfId="0" applyNumberFormat="1" applyProtection="1">
      <protection hidden="1"/>
    </xf>
    <xf numFmtId="186" fontId="80" fillId="0" borderId="0" xfId="0" applyNumberFormat="1" applyFont="1" applyAlignment="1" applyProtection="1">
      <alignment horizontal="left" vertical="center"/>
      <protection hidden="1"/>
    </xf>
    <xf numFmtId="0" fontId="0" fillId="0" borderId="27" xfId="0" applyBorder="1" applyProtection="1">
      <protection hidden="1"/>
    </xf>
    <xf numFmtId="0" fontId="28" fillId="7" borderId="6" xfId="0" applyFont="1" applyFill="1" applyBorder="1" applyAlignment="1" applyProtection="1">
      <alignment horizontal="left" vertical="center"/>
      <protection hidden="1"/>
    </xf>
    <xf numFmtId="0" fontId="11" fillId="7" borderId="6" xfId="0" applyFont="1" applyFill="1" applyBorder="1" applyAlignment="1" applyProtection="1">
      <alignment horizontal="left"/>
      <protection hidden="1"/>
    </xf>
    <xf numFmtId="0" fontId="11" fillId="7" borderId="20" xfId="0" applyFont="1" applyFill="1" applyBorder="1" applyAlignment="1" applyProtection="1">
      <alignment horizontal="left"/>
      <protection hidden="1"/>
    </xf>
    <xf numFmtId="0" fontId="48" fillId="2" borderId="70" xfId="0" applyFont="1" applyFill="1" applyBorder="1" applyAlignment="1" applyProtection="1">
      <alignment horizontal="center" vertical="center"/>
      <protection hidden="1"/>
    </xf>
    <xf numFmtId="0" fontId="48" fillId="2" borderId="71" xfId="0" applyFont="1" applyFill="1" applyBorder="1" applyAlignment="1" applyProtection="1">
      <alignment horizontal="center" vertical="center"/>
      <protection hidden="1"/>
    </xf>
    <xf numFmtId="179" fontId="25" fillId="2" borderId="0" xfId="0" applyNumberFormat="1" applyFont="1" applyFill="1" applyAlignment="1">
      <alignment horizontal="left" vertical="center"/>
    </xf>
    <xf numFmtId="0" fontId="9" fillId="2" borderId="70" xfId="0" applyFont="1" applyFill="1" applyBorder="1" applyAlignment="1" applyProtection="1">
      <alignment horizontal="center" vertical="center"/>
      <protection hidden="1"/>
    </xf>
    <xf numFmtId="0" fontId="48" fillId="2" borderId="0" xfId="0" applyFont="1" applyFill="1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/>
    </xf>
    <xf numFmtId="0" fontId="149" fillId="2" borderId="36" xfId="0" applyFont="1" applyFill="1" applyBorder="1" applyAlignment="1" applyProtection="1">
      <alignment horizontal="center" vertical="top"/>
      <protection hidden="1"/>
    </xf>
    <xf numFmtId="0" fontId="0" fillId="0" borderId="36" xfId="0" applyBorder="1" applyAlignment="1">
      <alignment horizontal="center" vertical="top"/>
    </xf>
    <xf numFmtId="0" fontId="45" fillId="2" borderId="43" xfId="0" applyFont="1" applyFill="1" applyBorder="1" applyAlignment="1" applyProtection="1">
      <alignment horizontal="center" vertical="center"/>
      <protection hidden="1"/>
    </xf>
    <xf numFmtId="0" fontId="9" fillId="0" borderId="44" xfId="0" applyFont="1" applyBorder="1" applyAlignment="1">
      <alignment horizontal="center" vertical="center"/>
    </xf>
    <xf numFmtId="0" fontId="35" fillId="2" borderId="48" xfId="0" applyFont="1" applyFill="1" applyBorder="1" applyAlignment="1" applyProtection="1">
      <alignment horizontal="center" vertical="center"/>
      <protection hidden="1"/>
    </xf>
    <xf numFmtId="0" fontId="9" fillId="0" borderId="49" xfId="0" applyFont="1" applyBorder="1" applyAlignment="1">
      <alignment horizontal="center" vertical="center"/>
    </xf>
    <xf numFmtId="191" fontId="25" fillId="2" borderId="35" xfId="0" applyNumberFormat="1" applyFont="1" applyFill="1" applyBorder="1" applyAlignment="1" applyProtection="1">
      <alignment horizontal="center" vertical="center"/>
      <protection hidden="1"/>
    </xf>
    <xf numFmtId="191" fontId="25" fillId="2" borderId="37" xfId="0" applyNumberFormat="1" applyFont="1" applyFill="1" applyBorder="1" applyAlignment="1" applyProtection="1">
      <alignment horizontal="center" vertical="center"/>
      <protection hidden="1"/>
    </xf>
    <xf numFmtId="167" fontId="25" fillId="2" borderId="38" xfId="0" applyNumberFormat="1" applyFont="1" applyFill="1" applyBorder="1" applyAlignment="1" applyProtection="1">
      <alignment horizontal="center" vertical="center"/>
      <protection hidden="1"/>
    </xf>
    <xf numFmtId="167" fontId="25" fillId="2" borderId="39" xfId="0" applyNumberFormat="1" applyFont="1" applyFill="1" applyBorder="1" applyAlignment="1" applyProtection="1">
      <alignment horizontal="center" vertical="center"/>
      <protection hidden="1"/>
    </xf>
    <xf numFmtId="192" fontId="25" fillId="2" borderId="38" xfId="0" applyNumberFormat="1" applyFont="1" applyFill="1" applyBorder="1" applyAlignment="1" applyProtection="1">
      <alignment horizontal="center" vertical="center"/>
      <protection hidden="1"/>
    </xf>
    <xf numFmtId="192" fontId="25" fillId="2" borderId="39" xfId="0" applyNumberFormat="1" applyFont="1" applyFill="1" applyBorder="1" applyAlignment="1" applyProtection="1">
      <alignment horizontal="center" vertical="center"/>
      <protection hidden="1"/>
    </xf>
    <xf numFmtId="166" fontId="25" fillId="2" borderId="38" xfId="0" applyNumberFormat="1" applyFont="1" applyFill="1" applyBorder="1" applyAlignment="1" applyProtection="1">
      <alignment horizontal="center" vertical="center"/>
      <protection hidden="1"/>
    </xf>
    <xf numFmtId="166" fontId="25" fillId="2" borderId="39" xfId="0" applyNumberFormat="1" applyFont="1" applyFill="1" applyBorder="1" applyAlignment="1" applyProtection="1">
      <alignment horizontal="center" vertical="center"/>
      <protection hidden="1"/>
    </xf>
    <xf numFmtId="193" fontId="25" fillId="2" borderId="40" xfId="0" applyNumberFormat="1" applyFont="1" applyFill="1" applyBorder="1" applyAlignment="1" applyProtection="1">
      <alignment horizontal="center" vertical="center"/>
      <protection hidden="1"/>
    </xf>
    <xf numFmtId="193" fontId="25" fillId="2" borderId="41" xfId="0" applyNumberFormat="1" applyFont="1" applyFill="1" applyBorder="1" applyAlignment="1" applyProtection="1">
      <alignment horizontal="center" vertical="center"/>
      <protection hidden="1"/>
    </xf>
    <xf numFmtId="193" fontId="25" fillId="2" borderId="100" xfId="0" applyNumberFormat="1" applyFont="1" applyFill="1" applyBorder="1" applyAlignment="1" applyProtection="1">
      <alignment horizontal="center" vertical="center"/>
      <protection hidden="1"/>
    </xf>
    <xf numFmtId="193" fontId="25" fillId="2" borderId="101" xfId="0" applyNumberFormat="1" applyFont="1" applyFill="1" applyBorder="1" applyAlignment="1" applyProtection="1">
      <alignment horizontal="center" vertical="center"/>
      <protection hidden="1"/>
    </xf>
    <xf numFmtId="193" fontId="25" fillId="2" borderId="0" xfId="0" applyNumberFormat="1" applyFont="1" applyFill="1" applyAlignment="1" applyProtection="1">
      <alignment horizontal="center" vertical="center"/>
      <protection hidden="1"/>
    </xf>
    <xf numFmtId="0" fontId="112" fillId="0" borderId="88" xfId="0" applyFont="1" applyBorder="1" applyAlignment="1">
      <alignment wrapText="1"/>
    </xf>
  </cellXfs>
  <cellStyles count="2">
    <cellStyle name="Comma" xfId="1" builtinId="3"/>
    <cellStyle name="Normal" xfId="0" builtinId="0"/>
  </cellStyles>
  <dxfs count="3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color auto="1"/>
      </font>
      <fill>
        <patternFill>
          <bgColor rgb="FFFF9999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 patternType="gray0625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 patternType="gray0625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gray0625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0000FF"/>
      <color rgb="FFFFFFE1"/>
      <color rgb="FFEAEAEA"/>
      <color rgb="FFB7FFB7"/>
      <color rgb="FFD7D7D7"/>
      <color rgb="FFEAF1F2"/>
      <color rgb="FFF10FB6"/>
      <color rgb="FFFFFF99"/>
      <color rgb="FFB3FFB3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089459207559548E-2"/>
          <c:y val="4.570889609301778E-2"/>
          <c:w val="0.88721885942167988"/>
          <c:h val="0.83627306885758035"/>
        </c:manualLayout>
      </c:layout>
      <c:scatterChart>
        <c:scatterStyle val="lineMarker"/>
        <c:varyColors val="0"/>
        <c:ser>
          <c:idx val="0"/>
          <c:order val="0"/>
          <c:tx>
            <c:v>&lt;== Centrage AV</c:v>
          </c:tx>
          <c:spPr>
            <a:ln w="38100">
              <a:solidFill>
                <a:sysClr val="windowText" lastClr="000000"/>
              </a:solidFill>
              <a:prstDash val="solid"/>
            </a:ln>
          </c:spPr>
          <c:marker>
            <c:symbol val="none"/>
          </c:marker>
          <c:xVal>
            <c:numRef>
              <c:f>'Masse &amp; Centrage'!$D$47:$D$51</c:f>
              <c:numCache>
                <c:formatCode>_-* #,##0.000_-;\-* #,##0.000_-;_-* "-"??_-;_-@_-</c:formatCode>
                <c:ptCount val="5"/>
                <c:pt idx="0">
                  <c:v>0.31</c:v>
                </c:pt>
                <c:pt idx="1">
                  <c:v>0.31</c:v>
                </c:pt>
                <c:pt idx="2">
                  <c:v>0.47299999999999998</c:v>
                </c:pt>
                <c:pt idx="3">
                  <c:v>0.59</c:v>
                </c:pt>
                <c:pt idx="4">
                  <c:v>0.59</c:v>
                </c:pt>
              </c:numCache>
            </c:numRef>
          </c:xVal>
          <c:yVal>
            <c:numRef>
              <c:f>'Masse &amp; Centrage'!$E$47:$E$51</c:f>
              <c:numCache>
                <c:formatCode>#,##0" kg"</c:formatCode>
                <c:ptCount val="5"/>
                <c:pt idx="0">
                  <c:v>440</c:v>
                </c:pt>
                <c:pt idx="1">
                  <c:v>600</c:v>
                </c:pt>
                <c:pt idx="2">
                  <c:v>840</c:v>
                </c:pt>
                <c:pt idx="3">
                  <c:v>840</c:v>
                </c:pt>
                <c:pt idx="4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7-48FB-8719-77B3F62AABDE}"/>
            </c:ext>
          </c:extLst>
        </c:ser>
        <c:ser>
          <c:idx val="6"/>
          <c:order val="1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tar"/>
            <c:size val="6"/>
            <c:spPr>
              <a:solidFill>
                <a:srgbClr val="1FB714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marker>
              <c:symbol val="diamond"/>
              <c:size val="9"/>
              <c:spPr>
                <a:solidFill>
                  <a:srgbClr val="0000FF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F57-48FB-8719-77B3F62AABDE}"/>
              </c:ext>
            </c:extLst>
          </c:dPt>
          <c:dPt>
            <c:idx val="1"/>
            <c:marker>
              <c:symbol val="diamond"/>
              <c:size val="9"/>
              <c:spPr>
                <a:solidFill>
                  <a:srgbClr val="00B050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4-CF57-48FB-8719-77B3F62AABDE}"/>
              </c:ext>
            </c:extLst>
          </c:dPt>
          <c:dPt>
            <c:idx val="2"/>
            <c:marker>
              <c:symbol val="diamond"/>
              <c:size val="9"/>
              <c:spPr>
                <a:solidFill>
                  <a:srgbClr val="F10FB6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CF57-48FB-8719-77B3F62AABDE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444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CF57-48FB-8719-77B3F62AABDE}"/>
              </c:ext>
            </c:extLst>
          </c:dPt>
          <c:dPt>
            <c:idx val="4"/>
            <c:marker>
              <c:symbol val="diamond"/>
              <c:size val="9"/>
              <c:spPr>
                <a:solidFill>
                  <a:srgbClr val="1FB714"/>
                </a:solidFill>
                <a:ln>
                  <a:solidFill>
                    <a:srgbClr val="00B050"/>
                  </a:solidFill>
                  <a:prstDash val="solid"/>
                </a:ln>
              </c:spPr>
            </c:marker>
            <c:bubble3D val="0"/>
            <c:spPr>
              <a:ln w="25400">
                <a:solidFill>
                  <a:srgbClr val="00B05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DA-49AB-A40E-6B471F779A5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5400">
                <a:solidFill>
                  <a:srgbClr val="00B05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DA-49AB-A40E-6B471F779A5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5C-4A6C-B5AB-7FFF696CC33F}"/>
              </c:ext>
            </c:extLst>
          </c:dPt>
          <c:dPt>
            <c:idx val="7"/>
            <c:marker>
              <c:symbol val="diamond"/>
              <c:size val="9"/>
              <c:spPr>
                <a:solidFill>
                  <a:srgbClr val="F10FB6"/>
                </a:solidFill>
                <a:ln>
                  <a:solidFill>
                    <a:srgbClr val="F10FB6"/>
                  </a:solidFill>
                  <a:prstDash val="solid"/>
                </a:ln>
              </c:spPr>
            </c:marker>
            <c:bubble3D val="0"/>
            <c:spPr>
              <a:ln w="25400">
                <a:solidFill>
                  <a:srgbClr val="F10FB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A5C-4A6C-B5AB-7FFF696CC33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5400">
                <a:solidFill>
                  <a:srgbClr val="F10FB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A5C-4A6C-B5AB-7FFF696CC33F}"/>
              </c:ext>
            </c:extLst>
          </c:dPt>
          <c:dLbls>
            <c:dLbl>
              <c:idx val="0"/>
              <c:layout>
                <c:manualLayout>
                  <c:x val="-1.96656864276878E-2"/>
                  <c:y val="-5.75022299093095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</a:defRPr>
                    </a:pPr>
                    <a:fld id="{0ABB49F7-EEF3-4E8E-8668-1609D4774AA3}" type="YVALUE">
                      <a:rPr lang="en-US"/>
                      <a:pPr>
                        <a:defRPr baseline="0">
                          <a:solidFill>
                            <a:schemeClr val="bg1"/>
                          </a:solidFill>
                        </a:defRPr>
                      </a:pPr>
                      <a:t>[Y VALUE]</a:t>
                    </a:fld>
                    <a:r>
                      <a:rPr lang="en-US"/>
                      <a:t> </a:t>
                    </a:r>
                  </a:p>
                </c:rich>
              </c:tx>
              <c:numFmt formatCode="##0&quot; kg (DEP)&quot;" sourceLinked="0"/>
              <c:spPr>
                <a:solidFill>
                  <a:srgbClr val="0000FF"/>
                </a:solidFill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F57-48FB-8719-77B3F62AABDE}"/>
                </c:ext>
              </c:extLst>
            </c:dLbl>
            <c:dLbl>
              <c:idx val="1"/>
              <c:layout>
                <c:manualLayout>
                  <c:x val="-1.5132513434218894E-2"/>
                  <c:y val="5.031445117064579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</a:defRPr>
                    </a:pPr>
                    <a:fld id="{59B419FE-EAD4-4E91-8D94-E9A69D59B1F1}" type="YVALUE">
                      <a:rPr lang="en-US"/>
                      <a:pPr>
                        <a:defRPr baseline="0">
                          <a:solidFill>
                            <a:schemeClr val="bg1"/>
                          </a:solidFill>
                        </a:defRPr>
                      </a:pPr>
                      <a:t>[Y VALUE]</a:t>
                    </a:fld>
                    <a:endParaRPr lang="en-GB"/>
                  </a:p>
                </c:rich>
              </c:tx>
              <c:numFmt formatCode="##0&quot; kg (ARR)&quot;" sourceLinked="0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F57-48FB-8719-77B3F62AABDE}"/>
                </c:ext>
              </c:extLst>
            </c:dLbl>
            <c:dLbl>
              <c:idx val="2"/>
              <c:layout>
                <c:manualLayout>
                  <c:x val="-7.6696177067982416E-2"/>
                  <c:y val="6.4690008647973155E-2"/>
                </c:manualLayout>
              </c:layout>
              <c:numFmt formatCode="##0&quot; kg (0 FUEL)&quot;" sourceLinked="0"/>
              <c:spPr>
                <a:solidFill>
                  <a:srgbClr val="F10FB6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F57-48FB-8719-77B3F62AABDE}"/>
                </c:ext>
              </c:extLst>
            </c:dLbl>
            <c:dLbl>
              <c:idx val="4"/>
              <c:layout>
                <c:manualLayout>
                  <c:x val="-0.24941398834579639"/>
                  <c:y val="-7.1877787386636846E-3"/>
                </c:manualLayout>
              </c:layout>
              <c:numFmt formatCode="##0&quot; kg (ARR)&quot;" sourceLinked="0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DA-49AB-A40E-6B471F779A56}"/>
                </c:ext>
              </c:extLst>
            </c:dLbl>
            <c:dLbl>
              <c:idx val="7"/>
              <c:layout>
                <c:manualLayout>
                  <c:x val="-0.27037620297462817"/>
                  <c:y val="-7.1877787386636846E-3"/>
                </c:manualLayout>
              </c:layout>
              <c:numFmt formatCode="##0&quot; kg (0 FUEL)&quot;" sourceLinked="0"/>
              <c:spPr>
                <a:solidFill>
                  <a:srgbClr val="F10FB6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5C-4A6C-B5AB-7FFF696CC33F}"/>
                </c:ext>
              </c:extLst>
            </c:dLbl>
            <c:numFmt formatCode="##0&quot; kg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aseline="0"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'Masse &amp; Centrage'!$D$52:$D$54</c:f>
              <c:numCache>
                <c:formatCode>_-* #,##0.000_-;\-* #,##0.000_-;_-* "-"??_-;_-@_-</c:formatCode>
                <c:ptCount val="3"/>
                <c:pt idx="0">
                  <c:v>0.44674918140144071</c:v>
                </c:pt>
                <c:pt idx="1">
                  <c:v>0.4203579692391452</c:v>
                </c:pt>
                <c:pt idx="2">
                  <c:v>0.36882799941546102</c:v>
                </c:pt>
              </c:numCache>
            </c:numRef>
          </c:xVal>
          <c:yVal>
            <c:numRef>
              <c:f>'Masse &amp; Centrage'!$E$52:$E$54</c:f>
              <c:numCache>
                <c:formatCode>#,##0" kg"</c:formatCode>
                <c:ptCount val="3"/>
                <c:pt idx="0">
                  <c:v>763.5</c:v>
                </c:pt>
                <c:pt idx="1">
                  <c:v>734.7</c:v>
                </c:pt>
                <c:pt idx="2">
                  <c:v>684.3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57-48FB-8719-77B3F62AABDE}"/>
            </c:ext>
          </c:extLst>
        </c:ser>
        <c:ser>
          <c:idx val="1"/>
          <c:order val="2"/>
          <c:tx>
            <c:v>Avion vide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1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673</c:v>
              </c:pt>
            </c:numLit>
          </c:xVal>
          <c:yVal>
            <c:numLit>
              <c:formatCode>General</c:formatCode>
              <c:ptCount val="1"/>
              <c:pt idx="0">
                <c:v>360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F57-48FB-8719-77B3F62A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2656"/>
        <c:axId val="52664576"/>
      </c:scatterChart>
      <c:valAx>
        <c:axId val="52662656"/>
        <c:scaling>
          <c:orientation val="minMax"/>
          <c:max val="0.60000000000000009"/>
          <c:min val="0.3000000000000000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Bras de levier (mm)</a:t>
                </a:r>
              </a:p>
            </c:rich>
          </c:tx>
          <c:layout>
            <c:manualLayout>
              <c:xMode val="edge"/>
              <c:yMode val="edge"/>
              <c:x val="0.42293278557571917"/>
              <c:y val="0.93702881322660858"/>
            </c:manualLayout>
          </c:layout>
          <c:overlay val="0"/>
          <c:spPr>
            <a:noFill/>
            <a:ln w="25400">
              <a:noFill/>
            </a:ln>
          </c:spPr>
        </c:title>
        <c:numFmt formatCode="_-* #,##0.000_-;\-* #,##0.000_-;_-* &quot;-&quot;??_-;_-@_-" sourceLinked="1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2664576"/>
        <c:crossesAt val="440"/>
        <c:crossBetween val="midCat"/>
        <c:majorUnit val="5.000000000000001E-2"/>
      </c:valAx>
      <c:valAx>
        <c:axId val="52664576"/>
        <c:scaling>
          <c:orientation val="minMax"/>
          <c:max val="880"/>
          <c:min val="5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Masse (kg)</a:t>
                </a:r>
              </a:p>
            </c:rich>
          </c:tx>
          <c:layout>
            <c:manualLayout>
              <c:xMode val="edge"/>
              <c:yMode val="edge"/>
              <c:x val="9.3984251968504007E-3"/>
              <c:y val="0.387909932311094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2662656"/>
        <c:crosses val="autoZero"/>
        <c:crossBetween val="midCat"/>
        <c:majorUnit val="40"/>
        <c:minorUnit val="20"/>
      </c:valAx>
      <c:spPr>
        <a:noFill/>
        <a:ln w="254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635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50393659" l="0.78740157480314954" r="0.78740157480314954" t="0.98425196850393659" header="0.51181102362204722" footer="0.51181102362204722"/>
    <c:pageSetup paperSize="9" orientation="portrait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089459207559548E-2"/>
          <c:y val="4.570889609301778E-2"/>
          <c:w val="0.88721885942167988"/>
          <c:h val="0.83627306885758035"/>
        </c:manualLayout>
      </c:layout>
      <c:scatterChart>
        <c:scatterStyle val="lineMarker"/>
        <c:varyColors val="0"/>
        <c:ser>
          <c:idx val="0"/>
          <c:order val="0"/>
          <c:tx>
            <c:v>&lt;== Centrage AV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'Masse &amp; Centrage'!$D$47:$D$51</c:f>
              <c:numCache>
                <c:formatCode>_-* #,##0.000_-;\-* #,##0.000_-;_-* "-"??_-;_-@_-</c:formatCode>
                <c:ptCount val="5"/>
                <c:pt idx="0">
                  <c:v>0.31</c:v>
                </c:pt>
                <c:pt idx="1">
                  <c:v>0.31</c:v>
                </c:pt>
                <c:pt idx="2">
                  <c:v>0.47299999999999998</c:v>
                </c:pt>
                <c:pt idx="3">
                  <c:v>0.59</c:v>
                </c:pt>
                <c:pt idx="4">
                  <c:v>0.59</c:v>
                </c:pt>
              </c:numCache>
            </c:numRef>
          </c:xVal>
          <c:yVal>
            <c:numRef>
              <c:f>'Masse &amp; Centrage'!$E$47:$E$51</c:f>
              <c:numCache>
                <c:formatCode>#,##0" kg"</c:formatCode>
                <c:ptCount val="5"/>
                <c:pt idx="0">
                  <c:v>440</c:v>
                </c:pt>
                <c:pt idx="1">
                  <c:v>600</c:v>
                </c:pt>
                <c:pt idx="2">
                  <c:v>840</c:v>
                </c:pt>
                <c:pt idx="3">
                  <c:v>840</c:v>
                </c:pt>
                <c:pt idx="4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8-4574-8DF3-8F2C25CBEF46}"/>
            </c:ext>
          </c:extLst>
        </c:ser>
        <c:ser>
          <c:idx val="6"/>
          <c:order val="1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tar"/>
            <c:size val="6"/>
            <c:spPr>
              <a:solidFill>
                <a:srgbClr val="1FB714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0"/>
            <c:marker>
              <c:symbol val="diamond"/>
              <c:size val="9"/>
              <c:spPr>
                <a:solidFill>
                  <a:srgbClr val="0000FF"/>
                </a:solidFill>
                <a:ln>
                  <a:noFill/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C58-4574-8DF3-8F2C25CBEF46}"/>
              </c:ext>
            </c:extLst>
          </c:dPt>
          <c:dPt>
            <c:idx val="1"/>
            <c:marker>
              <c:symbol val="diamond"/>
              <c:size val="9"/>
              <c:spPr>
                <a:solidFill>
                  <a:srgbClr val="00B050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6C58-4574-8DF3-8F2C25CBEF46}"/>
              </c:ext>
            </c:extLst>
          </c:dPt>
          <c:dPt>
            <c:idx val="2"/>
            <c:marker>
              <c:symbol val="diamond"/>
              <c:size val="9"/>
              <c:spPr>
                <a:solidFill>
                  <a:srgbClr val="F10FB6"/>
                </a:solidFill>
                <a:ln>
                  <a:noFill/>
                  <a:prstDash val="solid"/>
                </a:ln>
              </c:spPr>
            </c:marker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5-6C58-4574-8DF3-8F2C25CBEF4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444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58-4574-8DF3-8F2C25CBEF46}"/>
              </c:ext>
            </c:extLst>
          </c:dPt>
          <c:dPt>
            <c:idx val="4"/>
            <c:marker>
              <c:symbol val="diamond"/>
              <c:size val="9"/>
              <c:spPr>
                <a:solidFill>
                  <a:srgbClr val="1FB714"/>
                </a:solidFill>
                <a:ln>
                  <a:solidFill>
                    <a:srgbClr val="00B050"/>
                  </a:solidFill>
                  <a:prstDash val="solid"/>
                </a:ln>
              </c:spPr>
            </c:marker>
            <c:bubble3D val="0"/>
            <c:spPr>
              <a:ln w="25400">
                <a:solidFill>
                  <a:srgbClr val="00B05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58-4574-8DF3-8F2C25CBEF4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5400">
                <a:solidFill>
                  <a:srgbClr val="00B05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58-4574-8DF3-8F2C25CBEF46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C58-4574-8DF3-8F2C25CBEF46}"/>
              </c:ext>
            </c:extLst>
          </c:dPt>
          <c:dPt>
            <c:idx val="7"/>
            <c:marker>
              <c:symbol val="diamond"/>
              <c:size val="9"/>
              <c:spPr>
                <a:solidFill>
                  <a:srgbClr val="F10FB6"/>
                </a:solidFill>
                <a:ln>
                  <a:solidFill>
                    <a:srgbClr val="F10FB6"/>
                  </a:solidFill>
                  <a:prstDash val="solid"/>
                </a:ln>
              </c:spPr>
            </c:marker>
            <c:bubble3D val="0"/>
            <c:spPr>
              <a:ln w="25400">
                <a:solidFill>
                  <a:srgbClr val="F10FB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C58-4574-8DF3-8F2C25CBEF4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5400">
                <a:solidFill>
                  <a:srgbClr val="F10FB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C58-4574-8DF3-8F2C25CBEF46}"/>
              </c:ext>
            </c:extLst>
          </c:dPt>
          <c:dLbls>
            <c:dLbl>
              <c:idx val="0"/>
              <c:layout>
                <c:manualLayout>
                  <c:x val="-1.96656864276878E-2"/>
                  <c:y val="-5.75022299093095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</a:defRPr>
                    </a:pPr>
                    <a:fld id="{0ABB49F7-EEF3-4E8E-8668-1609D4774AA3}" type="YVALUE">
                      <a:rPr lang="en-US"/>
                      <a:pPr>
                        <a:defRPr baseline="0">
                          <a:solidFill>
                            <a:schemeClr val="bg1"/>
                          </a:solidFill>
                        </a:defRPr>
                      </a:pPr>
                      <a:t>[Y VALUE]</a:t>
                    </a:fld>
                    <a:r>
                      <a:rPr lang="en-US"/>
                      <a:t> </a:t>
                    </a:r>
                  </a:p>
                </c:rich>
              </c:tx>
              <c:numFmt formatCode="##0&quot; kg (DEP)&quot;" sourceLinked="0"/>
              <c:spPr>
                <a:solidFill>
                  <a:srgbClr val="0000FF"/>
                </a:solidFill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58-4574-8DF3-8F2C25CBEF46}"/>
                </c:ext>
              </c:extLst>
            </c:dLbl>
            <c:dLbl>
              <c:idx val="1"/>
              <c:layout>
                <c:manualLayout>
                  <c:x val="-1.5132513434218894E-2"/>
                  <c:y val="5.031445117064579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aseline="0">
                        <a:solidFill>
                          <a:schemeClr val="bg1"/>
                        </a:solidFill>
                      </a:defRPr>
                    </a:pPr>
                    <a:fld id="{59B419FE-EAD4-4E91-8D94-E9A69D59B1F1}" type="YVALUE">
                      <a:rPr lang="en-US"/>
                      <a:pPr>
                        <a:defRPr baseline="0">
                          <a:solidFill>
                            <a:schemeClr val="bg1"/>
                          </a:solidFill>
                        </a:defRPr>
                      </a:pPr>
                      <a:t>[Y VALUE]</a:t>
                    </a:fld>
                    <a:endParaRPr lang="en-GB"/>
                  </a:p>
                </c:rich>
              </c:tx>
              <c:numFmt formatCode="##0&quot; kg (ARR)&quot;" sourceLinked="0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58-4574-8DF3-8F2C25CBEF46}"/>
                </c:ext>
              </c:extLst>
            </c:dLbl>
            <c:dLbl>
              <c:idx val="2"/>
              <c:layout>
                <c:manualLayout>
                  <c:x val="-7.6696177067982416E-2"/>
                  <c:y val="6.4690008647973155E-2"/>
                </c:manualLayout>
              </c:layout>
              <c:numFmt formatCode="##0&quot; kg (0 FUEL)&quot;" sourceLinked="0"/>
              <c:spPr>
                <a:solidFill>
                  <a:srgbClr val="F10FB6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58-4574-8DF3-8F2C25CBEF46}"/>
                </c:ext>
              </c:extLst>
            </c:dLbl>
            <c:dLbl>
              <c:idx val="4"/>
              <c:layout>
                <c:manualLayout>
                  <c:x val="-0.24941398834579639"/>
                  <c:y val="-7.1877787386636846E-3"/>
                </c:manualLayout>
              </c:layout>
              <c:numFmt formatCode="##0&quot; kg (ARR)&quot;" sourceLinked="0"/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58-4574-8DF3-8F2C25CBEF46}"/>
                </c:ext>
              </c:extLst>
            </c:dLbl>
            <c:dLbl>
              <c:idx val="7"/>
              <c:layout>
                <c:manualLayout>
                  <c:x val="-0.27037620297462817"/>
                  <c:y val="-7.1877787386636846E-3"/>
                </c:manualLayout>
              </c:layout>
              <c:numFmt formatCode="##0&quot; kg (0 FUEL)&quot;" sourceLinked="0"/>
              <c:spPr>
                <a:solidFill>
                  <a:srgbClr val="F10FB6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aseline="0">
                      <a:solidFill>
                        <a:schemeClr val="bg1"/>
                      </a:solidFill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58-4574-8DF3-8F2C25CBEF46}"/>
                </c:ext>
              </c:extLst>
            </c:dLbl>
            <c:numFmt formatCode="##0&quot; kg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aseline="0"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'Masse &amp; Centrage'!$D$52:$D$54</c:f>
              <c:numCache>
                <c:formatCode>_-* #,##0.000_-;\-* #,##0.000_-;_-* "-"??_-;_-@_-</c:formatCode>
                <c:ptCount val="3"/>
                <c:pt idx="0">
                  <c:v>0.44674918140144071</c:v>
                </c:pt>
                <c:pt idx="1">
                  <c:v>0.4203579692391452</c:v>
                </c:pt>
                <c:pt idx="2">
                  <c:v>0.36882799941546102</c:v>
                </c:pt>
              </c:numCache>
            </c:numRef>
          </c:xVal>
          <c:yVal>
            <c:numRef>
              <c:f>'Masse &amp; Centrage'!$E$52:$E$54</c:f>
              <c:numCache>
                <c:formatCode>#,##0" kg"</c:formatCode>
                <c:ptCount val="3"/>
                <c:pt idx="0">
                  <c:v>763.5</c:v>
                </c:pt>
                <c:pt idx="1">
                  <c:v>734.7</c:v>
                </c:pt>
                <c:pt idx="2">
                  <c:v>684.3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C58-4574-8DF3-8F2C25CBEF46}"/>
            </c:ext>
          </c:extLst>
        </c:ser>
        <c:ser>
          <c:idx val="1"/>
          <c:order val="2"/>
          <c:tx>
            <c:v>Avion vide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1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673</c:v>
              </c:pt>
            </c:numLit>
          </c:xVal>
          <c:yVal>
            <c:numLit>
              <c:formatCode>General</c:formatCode>
              <c:ptCount val="1"/>
              <c:pt idx="0">
                <c:v>360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6C58-4574-8DF3-8F2C25CB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2656"/>
        <c:axId val="52664576"/>
      </c:scatterChart>
      <c:valAx>
        <c:axId val="52662656"/>
        <c:scaling>
          <c:orientation val="minMax"/>
          <c:max val="0.60000000000000009"/>
          <c:min val="0.3000000000000000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Bras de levier (m)</a:t>
                </a:r>
              </a:p>
            </c:rich>
          </c:tx>
          <c:layout>
            <c:manualLayout>
              <c:xMode val="edge"/>
              <c:yMode val="edge"/>
              <c:x val="0.42293278557571917"/>
              <c:y val="0.93702881322660858"/>
            </c:manualLayout>
          </c:layout>
          <c:overlay val="0"/>
          <c:spPr>
            <a:noFill/>
            <a:ln w="25400">
              <a:noFill/>
            </a:ln>
          </c:spPr>
        </c:title>
        <c:numFmt formatCode="_-* #,##0.000_-;\-* #,##0.000_-;_-* &quot;-&quot;??_-;_-@_-" sourceLinked="1"/>
        <c:majorTickMark val="cross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2664576"/>
        <c:crossesAt val="440"/>
        <c:crossBetween val="midCat"/>
        <c:majorUnit val="5.000000000000001E-2"/>
      </c:valAx>
      <c:valAx>
        <c:axId val="52664576"/>
        <c:scaling>
          <c:orientation val="minMax"/>
          <c:max val="880"/>
          <c:min val="56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Masse (kg)</a:t>
                </a:r>
              </a:p>
            </c:rich>
          </c:tx>
          <c:layout>
            <c:manualLayout>
              <c:xMode val="edge"/>
              <c:yMode val="edge"/>
              <c:x val="1.7017762559239213E-2"/>
              <c:y val="0.41209353104366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2662656"/>
        <c:crosses val="autoZero"/>
        <c:crossBetween val="midCat"/>
        <c:majorUnit val="100"/>
        <c:minorUnit val="50"/>
      </c:valAx>
      <c:spPr>
        <a:noFill/>
        <a:ln w="254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0">
      <a:solidFill>
        <a:schemeClr val="bg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50393659" l="0.78740157480314954" r="0.78740157480314954" t="0.98425196850393659" header="0.51181102362204722" footer="0.51181102362204722"/>
    <c:pageSetup paperSize="9" orientation="portrait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17</xdr:row>
      <xdr:rowOff>123827</xdr:rowOff>
    </xdr:from>
    <xdr:to>
      <xdr:col>6</xdr:col>
      <xdr:colOff>28575</xdr:colOff>
      <xdr:row>35</xdr:row>
      <xdr:rowOff>266700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B4E75-2019-E853-0E38-E63977570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8</xdr:row>
      <xdr:rowOff>104776</xdr:rowOff>
    </xdr:from>
    <xdr:to>
      <xdr:col>14</xdr:col>
      <xdr:colOff>438151</xdr:colOff>
      <xdr:row>22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A01C2-E772-4EE2-BF55-105FE963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tilisateur/AppData/Roaming/Microsoft/Excel/F-ZIGZAG%20-%20masse,%20centrage%20et%20performances%20JP.xlsx" TargetMode="External"/><Relationship Id="rId1" Type="http://schemas.openxmlformats.org/officeDocument/2006/relationships/externalLinkPath" Target="/Users/utilisateur/AppData/Roaming/Microsoft/Excel/F-ZIGZAG%20-%20masse,%20centrage%20et%20performances%20J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se &amp; Centrage"/>
      <sheetName val="Perfos AD Départ"/>
      <sheetName val="Perfos AD Destination"/>
      <sheetName val="résumé 2 perfos"/>
      <sheetName val="MdV Elixir Perfos"/>
    </sheetNames>
    <sheetDataSet>
      <sheetData sheetId="0" refreshError="1">
        <row r="54">
          <cell r="E54" t="str">
            <v>Elixir</v>
          </cell>
        </row>
        <row r="55">
          <cell r="E55" t="str">
            <v>F-ZIGZAG</v>
          </cell>
        </row>
        <row r="57">
          <cell r="E57">
            <v>673</v>
          </cell>
          <cell r="F57">
            <v>400</v>
          </cell>
        </row>
        <row r="68">
          <cell r="F68">
            <v>630</v>
          </cell>
        </row>
        <row r="71">
          <cell r="F71">
            <v>25</v>
          </cell>
        </row>
        <row r="72">
          <cell r="F72">
            <v>100</v>
          </cell>
        </row>
        <row r="73">
          <cell r="E73">
            <v>0</v>
          </cell>
        </row>
        <row r="76">
          <cell r="E76">
            <v>20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showGridLines="0" showRowColHeaders="0" tabSelected="1" zoomScaleNormal="100" workbookViewId="0">
      <selection activeCell="D6" sqref="D6"/>
    </sheetView>
  </sheetViews>
  <sheetFormatPr defaultColWidth="9.140625" defaultRowHeight="15" x14ac:dyDescent="0.25"/>
  <cols>
    <col min="1" max="1" width="2.7109375" style="1" customWidth="1"/>
    <col min="2" max="2" width="30.7109375" style="1" customWidth="1"/>
    <col min="3" max="3" width="17.42578125" style="1" customWidth="1"/>
    <col min="4" max="4" width="15.140625" style="1" customWidth="1"/>
    <col min="5" max="5" width="17.28515625" style="1" customWidth="1"/>
    <col min="6" max="6" width="15.5703125" style="1" customWidth="1"/>
    <col min="7" max="7" width="2.7109375" style="1" customWidth="1"/>
    <col min="8" max="16384" width="9.140625" style="1"/>
  </cols>
  <sheetData>
    <row r="1" spans="1:7" s="142" customFormat="1" ht="18.75" x14ac:dyDescent="0.3">
      <c r="A1" s="141"/>
      <c r="B1" s="672" t="str">
        <f>"Masse &amp; Centrage   "&amp;type&amp;"  /  "&amp;immat</f>
        <v>Masse &amp; Centrage   DR221  /  F-BPCT</v>
      </c>
      <c r="C1" s="672"/>
      <c r="D1" s="672"/>
      <c r="E1" s="672"/>
      <c r="F1" s="672"/>
      <c r="G1" s="141"/>
    </row>
    <row r="2" spans="1:7" x14ac:dyDescent="0.25">
      <c r="A2" s="7"/>
      <c r="B2" s="138" t="str">
        <f>"Masse maxi "&amp;poidsmax&amp;" kg"&amp;IF(bagages&lt;&gt;0," dont bagages "&amp;bagages&amp;" kg maxi","")</f>
        <v>Masse maxi 840 kg</v>
      </c>
      <c r="C2" s="138"/>
      <c r="D2" s="138"/>
      <c r="E2" s="139" t="s">
        <v>12</v>
      </c>
      <c r="F2" s="140">
        <f>D45</f>
        <v>43670</v>
      </c>
      <c r="G2" s="7"/>
    </row>
    <row r="3" spans="1:7" ht="15.75" thickBot="1" x14ac:dyDescent="0.3">
      <c r="A3" s="7"/>
      <c r="B3" s="673" t="s">
        <v>13</v>
      </c>
      <c r="C3" s="673"/>
      <c r="D3" s="673"/>
      <c r="E3" s="673"/>
      <c r="F3" s="673"/>
      <c r="G3" s="57"/>
    </row>
    <row r="4" spans="1:7" ht="30.75" thickBot="1" x14ac:dyDescent="0.3">
      <c r="A4" s="7"/>
      <c r="B4" s="125"/>
      <c r="C4" s="126" t="s">
        <v>14</v>
      </c>
      <c r="D4" s="126" t="s">
        <v>15</v>
      </c>
      <c r="E4" s="126" t="s">
        <v>16</v>
      </c>
      <c r="F4" s="127" t="s">
        <v>17</v>
      </c>
      <c r="G4" s="7"/>
    </row>
    <row r="5" spans="1:7" ht="15.75" customHeight="1" thickBot="1" x14ac:dyDescent="0.3">
      <c r="A5" s="7"/>
      <c r="B5" s="121" t="s">
        <v>47</v>
      </c>
      <c r="C5" s="122"/>
      <c r="D5" s="123">
        <f>massevide</f>
        <v>521.29999999999995</v>
      </c>
      <c r="E5" s="197">
        <f>+brasCG</f>
        <v>0.33</v>
      </c>
      <c r="F5" s="124">
        <f t="shared" ref="F5:F10" si="0">IF(D5&lt;&gt;"",E5*D5,"")</f>
        <v>172.029</v>
      </c>
      <c r="G5" s="7"/>
    </row>
    <row r="6" spans="1:7" ht="15.75" customHeight="1" thickBot="1" x14ac:dyDescent="0.3">
      <c r="A6" s="7"/>
      <c r="B6" s="113" t="s">
        <v>18</v>
      </c>
      <c r="C6" s="82"/>
      <c r="D6" s="100">
        <v>70</v>
      </c>
      <c r="E6" s="198">
        <f>+D56</f>
        <v>0.43</v>
      </c>
      <c r="F6" s="112">
        <f t="shared" si="0"/>
        <v>30.099999999999998</v>
      </c>
      <c r="G6" s="7"/>
    </row>
    <row r="7" spans="1:7" ht="15.75" customHeight="1" thickBot="1" x14ac:dyDescent="0.3">
      <c r="A7" s="7"/>
      <c r="B7" s="110" t="s">
        <v>19</v>
      </c>
      <c r="C7" s="111"/>
      <c r="D7" s="100">
        <v>80</v>
      </c>
      <c r="E7" s="199">
        <f>+D56</f>
        <v>0.43</v>
      </c>
      <c r="F7" s="105">
        <f t="shared" si="0"/>
        <v>34.4</v>
      </c>
      <c r="G7" s="7"/>
    </row>
    <row r="8" spans="1:7" ht="15.75" customHeight="1" thickBot="1" x14ac:dyDescent="0.3">
      <c r="A8" s="7"/>
      <c r="B8" s="110" t="s">
        <v>36</v>
      </c>
      <c r="C8" s="109"/>
      <c r="D8" s="100">
        <v>3</v>
      </c>
      <c r="E8" s="200">
        <f>+D57</f>
        <v>1.22</v>
      </c>
      <c r="F8" s="108">
        <f t="shared" si="0"/>
        <v>3.66</v>
      </c>
      <c r="G8" s="7"/>
    </row>
    <row r="9" spans="1:7" ht="15.75" customHeight="1" thickBot="1" x14ac:dyDescent="0.3">
      <c r="A9" s="7"/>
      <c r="B9" s="110" t="str">
        <f>"Bagages "&amp;E58&amp;" kg maxi"</f>
        <v>Bagages 0 kg maxi</v>
      </c>
      <c r="C9" s="109"/>
      <c r="D9" s="100">
        <v>10</v>
      </c>
      <c r="E9" s="200">
        <f>+D58</f>
        <v>1.22</v>
      </c>
      <c r="F9" s="108">
        <f t="shared" si="0"/>
        <v>12.2</v>
      </c>
      <c r="G9" s="7"/>
    </row>
    <row r="10" spans="1:7" ht="15.75" customHeight="1" thickBot="1" x14ac:dyDescent="0.3">
      <c r="A10" s="7"/>
      <c r="B10" s="107" t="str">
        <f>"Essence "&amp;E59&amp;" litres maxi"</f>
        <v>Essence 110 litres maxi</v>
      </c>
      <c r="C10" s="100">
        <v>110</v>
      </c>
      <c r="D10" s="106">
        <f>C10*D60</f>
        <v>79.2</v>
      </c>
      <c r="E10" s="201">
        <f>D59</f>
        <v>1.1200000000000001</v>
      </c>
      <c r="F10" s="105">
        <f t="shared" si="0"/>
        <v>88.704000000000008</v>
      </c>
      <c r="G10" s="7"/>
    </row>
    <row r="11" spans="1:7" ht="15.75" customHeight="1" thickBot="1" x14ac:dyDescent="0.3">
      <c r="A11" s="7"/>
      <c r="B11" s="104" t="s">
        <v>63</v>
      </c>
      <c r="C11" s="144">
        <f>MAX((C10-inutiles)/C12/24,0)</f>
        <v>0.18333333333333335</v>
      </c>
      <c r="D11" s="103"/>
      <c r="E11" s="202" t="str">
        <f>IF(C10&gt;central,central&amp;" litres maxi",IF(D10&lt;inutiles,inutiles&amp;" litres mini",""))</f>
        <v/>
      </c>
      <c r="F11" s="130"/>
      <c r="G11" s="7"/>
    </row>
    <row r="12" spans="1:7" ht="15.75" customHeight="1" thickBot="1" x14ac:dyDescent="0.3">
      <c r="A12" s="7"/>
      <c r="B12" s="120" t="s">
        <v>72</v>
      </c>
      <c r="C12" s="143">
        <f>VLOOKUP(B12,C64:E65,2,FALSE)</f>
        <v>25</v>
      </c>
      <c r="D12" s="103"/>
      <c r="E12" s="203"/>
      <c r="F12" s="102"/>
      <c r="G12" s="7"/>
    </row>
    <row r="13" spans="1:7" ht="15.75" customHeight="1" thickBot="1" x14ac:dyDescent="0.3">
      <c r="A13" s="7"/>
      <c r="B13" s="625" t="s">
        <v>20</v>
      </c>
      <c r="C13" s="626"/>
      <c r="D13" s="627">
        <f>SUM(D5:D10)</f>
        <v>763.5</v>
      </c>
      <c r="E13" s="628">
        <f>F13/D13</f>
        <v>0.44674918140144071</v>
      </c>
      <c r="F13" s="629">
        <f>SUM(F5:F10)</f>
        <v>341.09299999999996</v>
      </c>
      <c r="G13" s="7"/>
    </row>
    <row r="14" spans="1:7" ht="15.75" customHeight="1" thickBot="1" x14ac:dyDescent="0.3">
      <c r="A14" s="7"/>
      <c r="B14" s="101" t="s">
        <v>21</v>
      </c>
      <c r="C14" s="100">
        <v>40</v>
      </c>
      <c r="D14" s="99">
        <f>-D60*C14</f>
        <v>-28.799999999999997</v>
      </c>
      <c r="E14" s="204">
        <f>E10</f>
        <v>1.1200000000000001</v>
      </c>
      <c r="F14" s="98">
        <f>IF(D14&lt;&gt;"",E14*D14,"")</f>
        <v>-32.256</v>
      </c>
      <c r="G14" s="7"/>
    </row>
    <row r="15" spans="1:7" ht="15.75" customHeight="1" x14ac:dyDescent="0.25">
      <c r="A15" s="7"/>
      <c r="B15" s="97" t="s">
        <v>65</v>
      </c>
      <c r="C15" s="144">
        <f>MAX((C10-C14-inutiles)/C12/24,0)</f>
        <v>0.11666666666666665</v>
      </c>
      <c r="D15" s="129" t="str">
        <f>IF(D14&gt;D10-inutiles,"Délestage excessif, maxi = "&amp;C10-inutiles&amp;" litres","")</f>
        <v/>
      </c>
      <c r="E15" s="205"/>
      <c r="F15" s="131"/>
      <c r="G15" s="7"/>
    </row>
    <row r="16" spans="1:7" ht="15.75" customHeight="1" thickBot="1" x14ac:dyDescent="0.3">
      <c r="A16" s="7"/>
      <c r="B16" s="96" t="s">
        <v>22</v>
      </c>
      <c r="C16" s="95"/>
      <c r="D16" s="94">
        <f>D13+D14</f>
        <v>734.7</v>
      </c>
      <c r="E16" s="206">
        <f>F16/D16</f>
        <v>0.4203579692391452</v>
      </c>
      <c r="F16" s="93">
        <f>F13+F14</f>
        <v>308.83699999999999</v>
      </c>
      <c r="G16" s="7"/>
    </row>
    <row r="17" spans="1:9" ht="17.25" customHeight="1" x14ac:dyDescent="0.25">
      <c r="A17" s="7"/>
      <c r="B17" s="134" t="s">
        <v>48</v>
      </c>
      <c r="C17" s="135"/>
      <c r="D17" s="136"/>
      <c r="E17" s="136"/>
      <c r="F17" s="136"/>
      <c r="G17" s="57"/>
    </row>
    <row r="18" spans="1:9" x14ac:dyDescent="0.25">
      <c r="A18" s="7"/>
      <c r="B18" s="58"/>
      <c r="C18" s="58"/>
      <c r="D18" s="58"/>
      <c r="E18" s="58"/>
      <c r="F18" s="58"/>
      <c r="G18" s="7"/>
      <c r="H18" s="81"/>
      <c r="I18" s="81"/>
    </row>
    <row r="19" spans="1:9" x14ac:dyDescent="0.25">
      <c r="A19" s="7"/>
      <c r="B19" s="58"/>
      <c r="C19" s="58"/>
      <c r="D19" s="58"/>
      <c r="E19" s="58"/>
      <c r="F19" s="58"/>
      <c r="G19" s="7"/>
      <c r="H19" s="81"/>
      <c r="I19" s="81"/>
    </row>
    <row r="20" spans="1:9" x14ac:dyDescent="0.25">
      <c r="A20" s="7"/>
      <c r="B20" s="58"/>
      <c r="C20" s="58"/>
      <c r="D20" s="58"/>
      <c r="E20" s="58"/>
      <c r="F20" s="58"/>
      <c r="G20" s="7"/>
      <c r="H20" s="81"/>
      <c r="I20" s="81"/>
    </row>
    <row r="21" spans="1:9" x14ac:dyDescent="0.25">
      <c r="A21" s="7"/>
      <c r="B21" s="58"/>
      <c r="C21" s="58"/>
      <c r="D21" s="58"/>
      <c r="E21" s="58"/>
      <c r="F21" s="58"/>
      <c r="G21" s="7"/>
      <c r="H21" s="81"/>
      <c r="I21" s="81"/>
    </row>
    <row r="22" spans="1:9" x14ac:dyDescent="0.25">
      <c r="A22" s="7"/>
      <c r="B22" s="58"/>
      <c r="C22" s="58"/>
      <c r="D22" s="58"/>
      <c r="E22" s="58"/>
      <c r="F22" s="58"/>
      <c r="G22" s="7"/>
      <c r="H22" s="81"/>
      <c r="I22" s="81"/>
    </row>
    <row r="23" spans="1:9" x14ac:dyDescent="0.25">
      <c r="A23" s="7"/>
      <c r="B23" s="58"/>
      <c r="C23" s="58"/>
      <c r="D23" s="58"/>
      <c r="E23" s="58"/>
      <c r="F23" s="58"/>
      <c r="G23" s="7"/>
      <c r="H23" s="81"/>
      <c r="I23" s="81"/>
    </row>
    <row r="24" spans="1:9" x14ac:dyDescent="0.25">
      <c r="A24" s="7"/>
      <c r="B24" s="58"/>
      <c r="C24" s="58"/>
      <c r="D24" s="58"/>
      <c r="E24" s="58"/>
      <c r="F24" s="58"/>
      <c r="G24" s="7"/>
      <c r="H24" s="81"/>
      <c r="I24" s="81"/>
    </row>
    <row r="25" spans="1:9" x14ac:dyDescent="0.25">
      <c r="A25" s="7"/>
      <c r="B25" s="58"/>
      <c r="C25" s="58"/>
      <c r="D25" s="58"/>
      <c r="E25" s="58"/>
      <c r="F25" s="58"/>
      <c r="G25" s="7"/>
      <c r="H25" s="81"/>
      <c r="I25" s="81"/>
    </row>
    <row r="26" spans="1:9" x14ac:dyDescent="0.25">
      <c r="A26" s="7"/>
      <c r="B26" s="58"/>
      <c r="C26" s="58"/>
      <c r="D26" s="58"/>
      <c r="E26" s="58"/>
      <c r="F26" s="58"/>
      <c r="G26" s="7"/>
      <c r="H26" s="81"/>
      <c r="I26" s="81"/>
    </row>
    <row r="27" spans="1:9" x14ac:dyDescent="0.25">
      <c r="A27" s="7"/>
      <c r="B27" s="58"/>
      <c r="C27" s="58"/>
      <c r="D27" s="58"/>
      <c r="E27" s="58"/>
      <c r="F27" s="58"/>
      <c r="G27" s="7"/>
      <c r="H27" s="81"/>
      <c r="I27" s="81"/>
    </row>
    <row r="28" spans="1:9" x14ac:dyDescent="0.25">
      <c r="A28" s="7"/>
      <c r="B28" s="58"/>
      <c r="C28" s="58"/>
      <c r="D28" s="58"/>
      <c r="E28" s="58"/>
      <c r="F28" s="58"/>
      <c r="G28" s="132"/>
      <c r="H28" s="81"/>
      <c r="I28" s="81"/>
    </row>
    <row r="29" spans="1:9" x14ac:dyDescent="0.25">
      <c r="A29" s="7"/>
      <c r="B29" s="58"/>
      <c r="C29" s="58"/>
      <c r="D29" s="58"/>
      <c r="E29" s="58"/>
      <c r="F29" s="58"/>
      <c r="G29" s="132"/>
      <c r="H29" s="81"/>
      <c r="I29" s="81"/>
    </row>
    <row r="30" spans="1:9" x14ac:dyDescent="0.25">
      <c r="A30" s="7"/>
      <c r="B30" s="58"/>
      <c r="C30" s="58"/>
      <c r="D30" s="58"/>
      <c r="E30" s="58"/>
      <c r="F30" s="58"/>
      <c r="G30" s="7"/>
      <c r="H30" s="81"/>
      <c r="I30" s="81"/>
    </row>
    <row r="31" spans="1:9" x14ac:dyDescent="0.25">
      <c r="A31" s="7"/>
      <c r="B31" s="58"/>
      <c r="C31" s="58"/>
      <c r="D31" s="58"/>
      <c r="E31" s="58"/>
      <c r="F31" s="58"/>
      <c r="G31" s="7"/>
      <c r="H31" s="81"/>
      <c r="I31" s="81"/>
    </row>
    <row r="32" spans="1:9" x14ac:dyDescent="0.25">
      <c r="A32" s="7"/>
      <c r="B32" s="58"/>
      <c r="C32" s="58"/>
      <c r="D32" s="58"/>
      <c r="E32" s="58"/>
      <c r="F32" s="58"/>
      <c r="G32" s="133"/>
      <c r="H32" s="81"/>
      <c r="I32" s="81"/>
    </row>
    <row r="33" spans="1:9" x14ac:dyDescent="0.25">
      <c r="A33" s="7"/>
      <c r="B33" s="58"/>
      <c r="C33" s="58"/>
      <c r="D33" s="58"/>
      <c r="E33" s="58"/>
      <c r="F33" s="58"/>
      <c r="G33" s="7"/>
      <c r="H33" s="81"/>
      <c r="I33" s="81"/>
    </row>
    <row r="34" spans="1:9" x14ac:dyDescent="0.25">
      <c r="A34" s="7"/>
      <c r="B34" s="58"/>
      <c r="C34" s="58"/>
      <c r="D34" s="58"/>
      <c r="E34" s="58"/>
      <c r="F34" s="58"/>
      <c r="G34" s="7"/>
      <c r="H34" s="81"/>
      <c r="I34" s="81"/>
    </row>
    <row r="35" spans="1:9" x14ac:dyDescent="0.25">
      <c r="A35" s="7"/>
      <c r="B35" s="58"/>
      <c r="C35" s="58"/>
      <c r="D35" s="58"/>
      <c r="E35" s="58"/>
      <c r="F35" s="58"/>
      <c r="G35" s="7"/>
      <c r="H35" s="81"/>
      <c r="I35" s="81"/>
    </row>
    <row r="36" spans="1:9" ht="50.1" customHeight="1" x14ac:dyDescent="0.25">
      <c r="A36" s="7"/>
      <c r="B36" s="58"/>
      <c r="C36" s="58"/>
      <c r="D36" s="58"/>
      <c r="E36" s="58"/>
      <c r="F36" s="58"/>
      <c r="G36" s="7"/>
      <c r="H36" s="81"/>
      <c r="I36" s="81"/>
    </row>
    <row r="37" spans="1:9" x14ac:dyDescent="0.25">
      <c r="A37" s="7"/>
      <c r="B37" s="58"/>
      <c r="C37" s="58"/>
      <c r="D37" s="58"/>
      <c r="E37" s="58"/>
      <c r="F37" s="58"/>
      <c r="G37" s="58"/>
      <c r="H37" s="81"/>
      <c r="I37" s="81"/>
    </row>
    <row r="38" spans="1:9" ht="28.5" customHeight="1" x14ac:dyDescent="0.25">
      <c r="A38" s="674" t="s">
        <v>64</v>
      </c>
      <c r="B38" s="675"/>
      <c r="C38" s="675"/>
      <c r="D38" s="675"/>
      <c r="E38" s="675"/>
      <c r="F38" s="675"/>
      <c r="G38" s="675"/>
      <c r="H38" s="81"/>
      <c r="I38" s="81"/>
    </row>
    <row r="39" spans="1:9" hidden="1" x14ac:dyDescent="0.25">
      <c r="A39" s="19"/>
      <c r="B39" s="60"/>
      <c r="C39" s="60"/>
      <c r="D39" s="59"/>
      <c r="E39" s="49"/>
      <c r="F39" s="49"/>
      <c r="G39" s="19"/>
      <c r="H39" s="81"/>
      <c r="I39" s="81"/>
    </row>
    <row r="40" spans="1:9" ht="15.95" hidden="1" customHeight="1" x14ac:dyDescent="0.25">
      <c r="A40" s="19"/>
      <c r="B40" s="60"/>
      <c r="C40" s="676" t="s">
        <v>23</v>
      </c>
      <c r="D40" s="677"/>
      <c r="E40" s="678"/>
      <c r="G40" s="81"/>
      <c r="H40" s="81"/>
    </row>
    <row r="41" spans="1:9" ht="5.0999999999999996" hidden="1" customHeight="1" x14ac:dyDescent="0.25">
      <c r="A41" s="19"/>
      <c r="B41" s="60"/>
      <c r="C41" s="679"/>
      <c r="D41" s="680"/>
      <c r="E41" s="681"/>
      <c r="G41" s="81"/>
      <c r="H41" s="81"/>
    </row>
    <row r="42" spans="1:9" ht="15.95" hidden="1" customHeight="1" x14ac:dyDescent="0.25">
      <c r="A42" s="19"/>
      <c r="B42" s="60"/>
      <c r="C42" s="61"/>
      <c r="D42" s="92" t="s">
        <v>24</v>
      </c>
      <c r="E42" s="91" t="s">
        <v>25</v>
      </c>
      <c r="G42" s="81"/>
      <c r="H42" s="81"/>
    </row>
    <row r="43" spans="1:9" ht="15.95" hidden="1" customHeight="1" x14ac:dyDescent="0.25">
      <c r="A43" s="19"/>
      <c r="B43" s="62"/>
      <c r="C43" s="63" t="s">
        <v>26</v>
      </c>
      <c r="D43" s="670" t="s">
        <v>70</v>
      </c>
      <c r="E43" s="667"/>
      <c r="G43" s="81"/>
      <c r="H43" s="81"/>
    </row>
    <row r="44" spans="1:9" ht="15.95" hidden="1" customHeight="1" x14ac:dyDescent="0.25">
      <c r="A44" s="19"/>
      <c r="B44" s="62"/>
      <c r="C44" s="63" t="s">
        <v>27</v>
      </c>
      <c r="D44" s="670" t="s">
        <v>167</v>
      </c>
      <c r="E44" s="667"/>
      <c r="G44" s="81"/>
      <c r="H44" s="81"/>
    </row>
    <row r="45" spans="1:9" ht="15.95" hidden="1" customHeight="1" x14ac:dyDescent="0.25">
      <c r="A45" s="19"/>
      <c r="B45" s="62"/>
      <c r="C45" s="63" t="s">
        <v>28</v>
      </c>
      <c r="D45" s="671">
        <v>43670</v>
      </c>
      <c r="E45" s="667"/>
      <c r="G45" s="81"/>
      <c r="H45" s="81"/>
    </row>
    <row r="46" spans="1:9" ht="15.95" hidden="1" customHeight="1" x14ac:dyDescent="0.25">
      <c r="A46" s="19"/>
      <c r="B46" s="60"/>
      <c r="C46" s="64" t="s">
        <v>29</v>
      </c>
      <c r="D46" s="191">
        <v>0.33</v>
      </c>
      <c r="E46" s="90">
        <v>521.29999999999995</v>
      </c>
      <c r="G46" s="81"/>
      <c r="H46" s="81"/>
    </row>
    <row r="47" spans="1:9" ht="15.95" hidden="1" customHeight="1" x14ac:dyDescent="0.25">
      <c r="A47" s="19"/>
      <c r="B47" s="60"/>
      <c r="C47" s="64" t="s">
        <v>30</v>
      </c>
      <c r="D47" s="192">
        <v>0.31</v>
      </c>
      <c r="E47" s="88">
        <v>440</v>
      </c>
      <c r="G47" s="81"/>
      <c r="H47" s="81"/>
    </row>
    <row r="48" spans="1:9" ht="15.95" hidden="1" customHeight="1" x14ac:dyDescent="0.25">
      <c r="A48" s="19"/>
      <c r="B48" s="65"/>
      <c r="C48" s="64" t="s">
        <v>30</v>
      </c>
      <c r="D48" s="192">
        <v>0.31</v>
      </c>
      <c r="E48" s="88">
        <v>600</v>
      </c>
      <c r="G48" s="81"/>
      <c r="H48" s="81"/>
    </row>
    <row r="49" spans="1:8" ht="15.95" hidden="1" customHeight="1" x14ac:dyDescent="0.25">
      <c r="A49" s="19"/>
      <c r="B49" s="60"/>
      <c r="C49" s="64" t="s">
        <v>31</v>
      </c>
      <c r="D49" s="192">
        <v>0.47299999999999998</v>
      </c>
      <c r="E49" s="88">
        <v>840</v>
      </c>
      <c r="G49" s="81"/>
      <c r="H49" s="81"/>
    </row>
    <row r="50" spans="1:8" ht="15.95" hidden="1" customHeight="1" x14ac:dyDescent="0.25">
      <c r="A50" s="19"/>
      <c r="B50" s="65"/>
      <c r="C50" s="64" t="s">
        <v>32</v>
      </c>
      <c r="D50" s="192">
        <v>0.59</v>
      </c>
      <c r="E50" s="88">
        <v>840</v>
      </c>
      <c r="G50" s="81"/>
      <c r="H50" s="81"/>
    </row>
    <row r="51" spans="1:8" ht="15.95" hidden="1" customHeight="1" thickBot="1" x14ac:dyDescent="0.3">
      <c r="A51" s="19"/>
      <c r="B51" s="60"/>
      <c r="C51" s="145" t="s">
        <v>33</v>
      </c>
      <c r="D51" s="193">
        <v>0.59</v>
      </c>
      <c r="E51" s="146">
        <f>E47</f>
        <v>440</v>
      </c>
      <c r="G51" s="81"/>
      <c r="H51" s="81"/>
    </row>
    <row r="52" spans="1:8" ht="15.95" hidden="1" customHeight="1" x14ac:dyDescent="0.25">
      <c r="A52" s="19"/>
      <c r="B52" s="60"/>
      <c r="C52" s="149" t="s">
        <v>59</v>
      </c>
      <c r="D52" s="194">
        <f>F13/D13</f>
        <v>0.44674918140144071</v>
      </c>
      <c r="E52" s="150">
        <f>D13</f>
        <v>763.5</v>
      </c>
      <c r="G52" s="81"/>
      <c r="H52" s="81"/>
    </row>
    <row r="53" spans="1:8" ht="15.95" hidden="1" customHeight="1" x14ac:dyDescent="0.25">
      <c r="A53" s="19"/>
      <c r="B53" s="60"/>
      <c r="C53" s="151" t="s">
        <v>58</v>
      </c>
      <c r="D53" s="192">
        <f>F16/D16</f>
        <v>0.4203579692391452</v>
      </c>
      <c r="E53" s="152">
        <f>D16</f>
        <v>734.7</v>
      </c>
      <c r="G53" s="81"/>
      <c r="H53" s="81"/>
    </row>
    <row r="54" spans="1:8" ht="15.95" hidden="1" customHeight="1" thickBot="1" x14ac:dyDescent="0.3">
      <c r="A54" s="19"/>
      <c r="B54" s="60"/>
      <c r="C54" s="153" t="s">
        <v>68</v>
      </c>
      <c r="D54" s="195">
        <f>(F13-F10)/E54</f>
        <v>0.36882799941546102</v>
      </c>
      <c r="E54" s="154">
        <f>+D13-D10</f>
        <v>684.3</v>
      </c>
      <c r="G54" s="81"/>
      <c r="H54" s="81"/>
    </row>
    <row r="55" spans="1:8" ht="15.95" hidden="1" customHeight="1" x14ac:dyDescent="0.25">
      <c r="A55" s="19"/>
      <c r="B55" s="60"/>
      <c r="C55" s="147" t="s">
        <v>34</v>
      </c>
      <c r="D55" s="196"/>
      <c r="E55" s="148">
        <v>840</v>
      </c>
      <c r="G55" s="81"/>
      <c r="H55" s="81"/>
    </row>
    <row r="56" spans="1:8" ht="15.95" hidden="1" customHeight="1" x14ac:dyDescent="0.25">
      <c r="A56" s="19"/>
      <c r="B56" s="60"/>
      <c r="C56" s="64" t="s">
        <v>35</v>
      </c>
      <c r="D56" s="192">
        <v>0.43</v>
      </c>
      <c r="E56" s="89"/>
      <c r="G56" s="81"/>
      <c r="H56" s="81"/>
    </row>
    <row r="57" spans="1:8" ht="15.95" hidden="1" customHeight="1" x14ac:dyDescent="0.25">
      <c r="A57" s="19"/>
      <c r="B57" s="60"/>
      <c r="C57" s="64" t="s">
        <v>36</v>
      </c>
      <c r="D57" s="192">
        <v>1.22</v>
      </c>
      <c r="E57" s="89"/>
      <c r="G57" s="81"/>
      <c r="H57" s="81"/>
    </row>
    <row r="58" spans="1:8" ht="15.95" hidden="1" customHeight="1" x14ac:dyDescent="0.25">
      <c r="A58" s="19"/>
      <c r="B58" s="60"/>
      <c r="C58" s="66" t="s">
        <v>37</v>
      </c>
      <c r="D58" s="192">
        <v>1.22</v>
      </c>
      <c r="E58" s="88">
        <v>0</v>
      </c>
      <c r="G58" s="81"/>
      <c r="H58" s="81"/>
    </row>
    <row r="59" spans="1:8" ht="15.95" hidden="1" customHeight="1" x14ac:dyDescent="0.25">
      <c r="A59" s="19"/>
      <c r="B59" s="60"/>
      <c r="C59" s="66" t="s">
        <v>71</v>
      </c>
      <c r="D59" s="192">
        <v>1.1200000000000001</v>
      </c>
      <c r="E59" s="87">
        <v>110</v>
      </c>
      <c r="G59" s="81"/>
      <c r="H59" s="81"/>
    </row>
    <row r="60" spans="1:8" ht="15.95" hidden="1" customHeight="1" x14ac:dyDescent="0.25">
      <c r="A60" s="19"/>
      <c r="B60" s="60"/>
      <c r="C60" s="66" t="s">
        <v>69</v>
      </c>
      <c r="D60" s="190">
        <v>0.72</v>
      </c>
      <c r="E60" s="189"/>
      <c r="G60" s="81"/>
      <c r="H60" s="81"/>
    </row>
    <row r="61" spans="1:8" ht="15.95" hidden="1" customHeight="1" x14ac:dyDescent="0.25">
      <c r="A61" s="19"/>
      <c r="B61" s="60"/>
      <c r="C61" s="66" t="s">
        <v>38</v>
      </c>
      <c r="D61" s="666">
        <v>0</v>
      </c>
      <c r="E61" s="667"/>
      <c r="G61" s="81"/>
      <c r="H61" s="81"/>
    </row>
    <row r="62" spans="1:8" ht="15.95" hidden="1" customHeight="1" x14ac:dyDescent="0.25">
      <c r="A62" s="19"/>
      <c r="B62" s="60"/>
      <c r="C62" s="66" t="s">
        <v>39</v>
      </c>
      <c r="D62" s="666">
        <v>0</v>
      </c>
      <c r="E62" s="667"/>
      <c r="G62" s="81"/>
      <c r="H62" s="81"/>
    </row>
    <row r="63" spans="1:8" ht="15.95" hidden="1" customHeight="1" x14ac:dyDescent="0.25">
      <c r="A63" s="19"/>
      <c r="B63" s="60"/>
      <c r="C63" s="66" t="s">
        <v>40</v>
      </c>
      <c r="D63" s="666">
        <v>0</v>
      </c>
      <c r="E63" s="667"/>
      <c r="G63" s="81"/>
      <c r="H63" s="81"/>
    </row>
    <row r="64" spans="1:8" ht="15.95" hidden="1" customHeight="1" x14ac:dyDescent="0.25">
      <c r="A64" s="19"/>
      <c r="B64" s="60"/>
      <c r="C64" s="207" t="s">
        <v>72</v>
      </c>
      <c r="D64" s="668">
        <v>25</v>
      </c>
      <c r="E64" s="669"/>
      <c r="G64" s="81"/>
      <c r="H64" s="81"/>
    </row>
    <row r="65" spans="1:8" ht="15.95" hidden="1" customHeight="1" x14ac:dyDescent="0.25">
      <c r="A65" s="19"/>
      <c r="B65" s="60"/>
      <c r="C65" s="207" t="s">
        <v>73</v>
      </c>
      <c r="D65" s="668">
        <v>22</v>
      </c>
      <c r="E65" s="669"/>
      <c r="G65" s="81"/>
      <c r="H65" s="81"/>
    </row>
    <row r="66" spans="1:8" hidden="1" x14ac:dyDescent="0.25">
      <c r="B66" s="137"/>
      <c r="C66" s="137"/>
      <c r="D66" s="137"/>
      <c r="E66" s="137"/>
      <c r="F66" s="137"/>
    </row>
    <row r="67" spans="1:8" hidden="1" x14ac:dyDescent="0.25">
      <c r="B67" s="137"/>
      <c r="C67" s="137"/>
      <c r="D67" s="137"/>
      <c r="E67" s="137"/>
      <c r="F67" s="137"/>
    </row>
    <row r="68" spans="1:8" hidden="1" x14ac:dyDescent="0.25">
      <c r="B68" s="137"/>
      <c r="C68" s="137"/>
      <c r="D68" s="137"/>
      <c r="E68" s="137"/>
      <c r="F68" s="137"/>
    </row>
    <row r="69" spans="1:8" hidden="1" x14ac:dyDescent="0.25">
      <c r="B69" s="137"/>
      <c r="C69" s="137"/>
      <c r="D69" s="137"/>
      <c r="E69" s="137"/>
      <c r="F69" s="137"/>
    </row>
    <row r="70" spans="1:8" hidden="1" x14ac:dyDescent="0.25"/>
    <row r="71" spans="1:8" hidden="1" x14ac:dyDescent="0.25"/>
    <row r="72" spans="1:8" hidden="1" x14ac:dyDescent="0.25"/>
  </sheetData>
  <sheetProtection sheet="1" objects="1" scenarios="1" selectLockedCells="1"/>
  <mergeCells count="13">
    <mergeCell ref="B1:F1"/>
    <mergeCell ref="B3:F3"/>
    <mergeCell ref="A38:G38"/>
    <mergeCell ref="D61:E61"/>
    <mergeCell ref="D62:E62"/>
    <mergeCell ref="C40:E40"/>
    <mergeCell ref="C41:E41"/>
    <mergeCell ref="D63:E63"/>
    <mergeCell ref="D64:E64"/>
    <mergeCell ref="D65:E65"/>
    <mergeCell ref="D43:E43"/>
    <mergeCell ref="D44:E44"/>
    <mergeCell ref="D45:E45"/>
  </mergeCells>
  <conditionalFormatting sqref="C10">
    <cfRule type="cellIs" dxfId="38" priority="6" operator="greaterThan">
      <formula>central</formula>
    </cfRule>
    <cfRule type="cellIs" dxfId="37" priority="8" operator="lessThan">
      <formula>inutiles</formula>
    </cfRule>
  </conditionalFormatting>
  <conditionalFormatting sqref="C14">
    <cfRule type="cellIs" dxfId="36" priority="7" stopIfTrue="1" operator="greaterThan">
      <formula>C10-inutiles</formula>
    </cfRule>
  </conditionalFormatting>
  <conditionalFormatting sqref="D13">
    <cfRule type="cellIs" dxfId="35" priority="3" stopIfTrue="1" operator="greaterThan">
      <formula>poidsmax</formula>
    </cfRule>
  </conditionalFormatting>
  <conditionalFormatting sqref="E13 E16">
    <cfRule type="cellIs" dxfId="34" priority="1" stopIfTrue="1" operator="greaterThan">
      <formula>$D$50</formula>
    </cfRule>
    <cfRule type="cellIs" dxfId="33" priority="2" stopIfTrue="1" operator="lessThan">
      <formula>$D$47</formula>
    </cfRule>
  </conditionalFormatting>
  <dataValidations count="1">
    <dataValidation type="list" allowBlank="1" showInputMessage="1" showErrorMessage="1" sqref="B12" xr:uid="{00000000-0002-0000-0000-000001000000}">
      <formula1>$C$64:$C$65</formula1>
    </dataValidation>
  </dataValidations>
  <pageMargins left="0.31496062992125984" right="0.19685039370078741" top="0.39370078740157483" bottom="0.39370078740157483" header="0" footer="0"/>
  <pageSetup paperSize="9" scale="95" orientation="portrait" r:id="rId1"/>
  <rowBreaks count="1" manualBreakCount="1">
    <brk id="37" max="16383" man="1"/>
  </rowBreaks>
  <ignoredErrors>
    <ignoredError sqref="E13:E1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1F43-58F3-4982-B1E9-000F148F381A}">
  <dimension ref="A1:S166"/>
  <sheetViews>
    <sheetView showGridLines="0" showRowColHeaders="0" zoomScaleNormal="100" workbookViewId="0">
      <selection activeCell="H2" sqref="H2:N2"/>
    </sheetView>
  </sheetViews>
  <sheetFormatPr defaultColWidth="11.42578125" defaultRowHeight="15" x14ac:dyDescent="0.25"/>
  <cols>
    <col min="1" max="1" width="3.28515625" customWidth="1"/>
    <col min="2" max="2" width="2.7109375" customWidth="1"/>
    <col min="3" max="3" width="9.7109375" customWidth="1"/>
    <col min="4" max="4" width="10.7109375" customWidth="1"/>
    <col min="5" max="5" width="11.7109375" customWidth="1"/>
    <col min="6" max="6" width="10.7109375" customWidth="1"/>
    <col min="7" max="7" width="7.7109375" customWidth="1"/>
    <col min="8" max="8" width="5.7109375" customWidth="1"/>
    <col min="9" max="9" width="6.7109375" customWidth="1"/>
    <col min="10" max="10" width="5.7109375" customWidth="1"/>
    <col min="11" max="12" width="6.7109375" customWidth="1"/>
    <col min="13" max="13" width="5.7109375" customWidth="1"/>
    <col min="14" max="14" width="7.28515625" customWidth="1"/>
    <col min="15" max="15" width="2.7109375" customWidth="1"/>
    <col min="16" max="16" width="3.28515625" customWidth="1"/>
    <col min="17" max="17" width="1.7109375" customWidth="1"/>
  </cols>
  <sheetData>
    <row r="1" spans="1:16" s="1" customFormat="1" ht="24.95" customHeight="1" x14ac:dyDescent="0.3">
      <c r="A1" s="7"/>
      <c r="B1" s="682" t="str">
        <f>"Performances  "&amp;'Masse &amp; Centrage'!D43&amp;" / "&amp;'Masse &amp; Centrage'!D44</f>
        <v>Performances  DR221 / F-BPCT</v>
      </c>
      <c r="C1" s="683"/>
      <c r="D1" s="683"/>
      <c r="E1" s="683"/>
      <c r="F1" s="683"/>
      <c r="G1" s="683"/>
      <c r="H1" s="694" t="s">
        <v>44</v>
      </c>
      <c r="I1" s="695"/>
      <c r="J1" s="695"/>
      <c r="K1" s="695"/>
      <c r="L1" s="695"/>
      <c r="M1" s="695"/>
      <c r="N1" s="695"/>
      <c r="O1" s="7"/>
      <c r="P1" s="7"/>
    </row>
    <row r="2" spans="1:16" s="1" customFormat="1" ht="24.95" customHeight="1" thickBot="1" x14ac:dyDescent="0.3">
      <c r="A2" s="7"/>
      <c r="B2" s="684"/>
      <c r="C2" s="684"/>
      <c r="D2" s="684"/>
      <c r="E2" s="684"/>
      <c r="F2" s="684"/>
      <c r="G2" s="684"/>
      <c r="H2" s="691" t="s">
        <v>169</v>
      </c>
      <c r="I2" s="692"/>
      <c r="J2" s="692"/>
      <c r="K2" s="692"/>
      <c r="L2" s="692"/>
      <c r="M2" s="692"/>
      <c r="N2" s="693"/>
      <c r="O2" s="7"/>
      <c r="P2" s="7"/>
    </row>
    <row r="3" spans="1:16" s="1" customFormat="1" ht="20.10000000000000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s="1" customFormat="1" ht="12" customHeight="1" x14ac:dyDescent="0.3">
      <c r="A4" s="7"/>
      <c r="B4" s="8"/>
      <c r="C4" s="9"/>
      <c r="D4" s="10"/>
      <c r="E4" s="10"/>
      <c r="F4" s="10"/>
      <c r="G4" s="10"/>
      <c r="H4" s="11"/>
      <c r="I4" s="10"/>
      <c r="J4" s="12"/>
      <c r="K4" s="10"/>
      <c r="L4" s="507"/>
      <c r="M4" s="507"/>
      <c r="N4" s="507"/>
      <c r="O4" s="47"/>
      <c r="P4" s="7"/>
    </row>
    <row r="5" spans="1:16" s="1" customFormat="1" ht="20.100000000000001" customHeight="1" thickBot="1" x14ac:dyDescent="0.3">
      <c r="A5" s="7"/>
      <c r="B5" s="13"/>
      <c r="C5" s="14" t="s">
        <v>5</v>
      </c>
      <c r="D5" s="15"/>
      <c r="E5" s="2">
        <v>1025</v>
      </c>
      <c r="F5" s="16" t="s">
        <v>2</v>
      </c>
      <c r="G5" s="685" t="s">
        <v>6</v>
      </c>
      <c r="H5" s="688" t="s">
        <v>41</v>
      </c>
      <c r="I5" s="689"/>
      <c r="J5" s="689"/>
      <c r="K5" s="689"/>
      <c r="L5" s="689"/>
      <c r="M5" s="689"/>
      <c r="N5" s="690"/>
      <c r="O5" s="48"/>
      <c r="P5" s="7"/>
    </row>
    <row r="6" spans="1:16" s="1" customFormat="1" ht="9.9499999999999993" customHeight="1" x14ac:dyDescent="0.25">
      <c r="A6" s="7"/>
      <c r="B6" s="13"/>
      <c r="C6" s="17"/>
      <c r="D6" s="15"/>
      <c r="E6" s="15"/>
      <c r="F6" s="15"/>
      <c r="G6" s="685"/>
      <c r="H6" s="543">
        <f>E7-(E5-1013)*28</f>
        <v>202</v>
      </c>
      <c r="I6" s="544">
        <f>ROUND(H6/3.28084,0)</f>
        <v>62</v>
      </c>
      <c r="J6" s="696" t="str">
        <f>IF(I6&lt;1501,"",H6)</f>
        <v/>
      </c>
      <c r="K6" s="697"/>
      <c r="L6" s="698" t="str">
        <f>IF(I6&lt;1501,"",I6)</f>
        <v/>
      </c>
      <c r="M6" s="699"/>
      <c r="N6" s="545"/>
      <c r="O6" s="48"/>
      <c r="P6" s="7"/>
    </row>
    <row r="7" spans="1:16" s="1" customFormat="1" ht="20.100000000000001" customHeight="1" thickBot="1" x14ac:dyDescent="0.35">
      <c r="A7" s="7"/>
      <c r="B7" s="13"/>
      <c r="C7" s="14" t="s">
        <v>11</v>
      </c>
      <c r="D7" s="15"/>
      <c r="E7" s="2">
        <v>538</v>
      </c>
      <c r="F7" s="16" t="s">
        <v>1</v>
      </c>
      <c r="G7" s="685"/>
      <c r="H7" s="560">
        <f>IF(I6&lt;1501,H6,"altitude max MdV = 1500 m")</f>
        <v>202</v>
      </c>
      <c r="I7" s="556"/>
      <c r="J7" s="557"/>
      <c r="K7" s="557"/>
      <c r="L7" s="558"/>
      <c r="M7" s="558"/>
      <c r="N7" s="559"/>
      <c r="O7" s="48"/>
      <c r="P7" s="7"/>
    </row>
    <row r="8" spans="1:16" s="1" customFormat="1" ht="18" customHeight="1" thickTop="1" x14ac:dyDescent="0.25">
      <c r="A8" s="7"/>
      <c r="B8" s="13"/>
      <c r="C8" s="19"/>
      <c r="D8" s="19"/>
      <c r="E8" s="19"/>
      <c r="F8" s="19"/>
      <c r="G8" s="19"/>
      <c r="H8" s="614"/>
      <c r="I8" s="544"/>
      <c r="J8" s="546"/>
      <c r="K8" s="658" t="s">
        <v>157</v>
      </c>
      <c r="L8" s="710">
        <f>I42+120*(E9-(15-2*I42/1000))</f>
        <v>1330.48</v>
      </c>
      <c r="M8" s="710"/>
      <c r="N8" s="19"/>
      <c r="O8" s="48"/>
      <c r="P8" s="7"/>
    </row>
    <row r="9" spans="1:16" s="1" customFormat="1" ht="20.100000000000001" customHeight="1" thickBot="1" x14ac:dyDescent="0.3">
      <c r="A9" s="7"/>
      <c r="B9" s="13"/>
      <c r="C9" s="14" t="s">
        <v>0</v>
      </c>
      <c r="D9" s="15"/>
      <c r="E9" s="2">
        <v>24</v>
      </c>
      <c r="F9" s="16" t="s">
        <v>7</v>
      </c>
      <c r="G9" s="700">
        <f>ROUND(E9-15+M34*2/1000,0)</f>
        <v>9</v>
      </c>
      <c r="H9" s="700"/>
      <c r="I9"/>
      <c r="J9"/>
      <c r="K9"/>
      <c r="L9"/>
      <c r="M9"/>
      <c r="N9"/>
      <c r="O9" s="48"/>
      <c r="P9" s="7"/>
    </row>
    <row r="10" spans="1:16" s="1" customFormat="1" ht="9.9499999999999993" customHeight="1" x14ac:dyDescent="0.25">
      <c r="A10" s="7"/>
      <c r="B10" s="13"/>
      <c r="C10" s="18"/>
      <c r="D10" s="15"/>
      <c r="E10" s="20"/>
      <c r="F10" s="21"/>
      <c r="G10" s="22"/>
      <c r="H10" s="23"/>
      <c r="I10" s="22"/>
      <c r="J10" s="23"/>
      <c r="K10" s="22"/>
      <c r="L10" s="19"/>
      <c r="M10" s="19"/>
      <c r="N10" s="19"/>
      <c r="O10" s="48"/>
      <c r="P10" s="7"/>
    </row>
    <row r="11" spans="1:16" s="1" customFormat="1" ht="20.100000000000001" customHeight="1" thickBot="1" x14ac:dyDescent="0.3">
      <c r="A11" s="7"/>
      <c r="B11" s="13"/>
      <c r="C11" s="78" t="s">
        <v>46</v>
      </c>
      <c r="D11" s="24"/>
      <c r="E11" s="2">
        <v>9</v>
      </c>
      <c r="F11" s="25" t="s">
        <v>3</v>
      </c>
      <c r="G11" s="551" t="s">
        <v>84</v>
      </c>
      <c r="H11" s="552" t="s">
        <v>147</v>
      </c>
      <c r="I11" s="553"/>
      <c r="J11" s="554"/>
      <c r="K11" s="554"/>
      <c r="L11" s="555"/>
      <c r="M11" s="555"/>
      <c r="N11" s="555"/>
      <c r="O11" s="547"/>
      <c r="P11" s="7"/>
    </row>
    <row r="12" spans="1:16" s="1" customFormat="1" ht="9.9499999999999993" customHeight="1" x14ac:dyDescent="0.25">
      <c r="A12" s="7"/>
      <c r="B12" s="13"/>
      <c r="C12" s="78"/>
      <c r="D12" s="24"/>
      <c r="E12" s="77"/>
      <c r="F12" s="25"/>
      <c r="G12" s="26"/>
      <c r="H12" s="26"/>
      <c r="I12" s="27"/>
      <c r="J12" s="501"/>
      <c r="K12" s="25"/>
      <c r="L12" s="19"/>
      <c r="M12" s="19"/>
      <c r="N12" s="19"/>
      <c r="O12" s="48"/>
      <c r="P12" s="7"/>
    </row>
    <row r="13" spans="1:16" s="1" customFormat="1" ht="18" customHeight="1" thickBot="1" x14ac:dyDescent="0.3">
      <c r="A13" s="7"/>
      <c r="B13" s="13"/>
      <c r="C13" s="78" t="s">
        <v>50</v>
      </c>
      <c r="D13" s="24"/>
      <c r="E13" s="652">
        <f>'Masse &amp; Centrage'!D13</f>
        <v>763.5</v>
      </c>
      <c r="F13" s="25" t="s">
        <v>4</v>
      </c>
      <c r="G13" s="26"/>
      <c r="H13" s="686" t="str">
        <f>IF(E13&lt;='Masse &amp; Centrage'!E55," ","masse max  =  "&amp;'Masse &amp; Centrage'!E55&amp;" kg")</f>
        <v xml:space="preserve"> </v>
      </c>
      <c r="I13" s="687"/>
      <c r="J13" s="687"/>
      <c r="K13" s="687"/>
      <c r="L13" s="687"/>
      <c r="M13" s="687"/>
      <c r="N13" s="687"/>
      <c r="O13" s="48"/>
      <c r="P13" s="7"/>
    </row>
    <row r="14" spans="1:16" s="1" customFormat="1" ht="9.9499999999999993" customHeight="1" thickBot="1" x14ac:dyDescent="0.3">
      <c r="A14" s="7"/>
      <c r="B14" s="114"/>
      <c r="C14" s="50"/>
      <c r="D14" s="51"/>
      <c r="E14" s="52"/>
      <c r="F14" s="53"/>
      <c r="G14" s="54"/>
      <c r="H14" s="55"/>
      <c r="I14" s="54"/>
      <c r="J14" s="55"/>
      <c r="K14" s="54"/>
      <c r="L14" s="115"/>
      <c r="M14" s="115"/>
      <c r="N14" s="115"/>
      <c r="O14" s="56"/>
      <c r="P14" s="7"/>
    </row>
    <row r="15" spans="1:16" s="1" customFormat="1" ht="20.100000000000001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s="1" customFormat="1" ht="21.95" customHeight="1" x14ac:dyDescent="0.25">
      <c r="A16" s="7"/>
      <c r="B16" s="73"/>
      <c r="C16" s="79" t="s">
        <v>9</v>
      </c>
      <c r="D16" s="75"/>
      <c r="E16" s="76"/>
      <c r="F16" s="76"/>
      <c r="G16" s="74"/>
      <c r="H16" s="74"/>
      <c r="I16" s="74"/>
      <c r="J16" s="74"/>
      <c r="K16" s="74"/>
      <c r="L16" s="534"/>
      <c r="M16" s="534"/>
      <c r="N16" s="534"/>
      <c r="O16" s="530"/>
      <c r="P16" s="7"/>
    </row>
    <row r="17" spans="1:16" s="1" customFormat="1" ht="9.9499999999999993" customHeight="1" x14ac:dyDescent="0.25">
      <c r="A17" s="7"/>
      <c r="B17" s="13"/>
      <c r="C17" s="18"/>
      <c r="D17" s="15"/>
      <c r="E17" s="20"/>
      <c r="F17" s="28"/>
      <c r="G17" s="29"/>
      <c r="H17" s="30"/>
      <c r="I17" s="29"/>
      <c r="J17" s="30"/>
      <c r="K17" s="29"/>
      <c r="L17" s="19"/>
      <c r="M17" s="19"/>
      <c r="N17" s="19"/>
      <c r="O17" s="48"/>
      <c r="P17" s="7"/>
    </row>
    <row r="18" spans="1:16" s="1" customFormat="1" ht="20.100000000000001" customHeight="1" x14ac:dyDescent="0.3">
      <c r="A18" s="7"/>
      <c r="B18" s="13"/>
      <c r="C18" s="31" t="s">
        <v>138</v>
      </c>
      <c r="D18" s="32"/>
      <c r="E18" s="33"/>
      <c r="F18" s="34"/>
      <c r="G18" s="34"/>
      <c r="H18" s="32"/>
      <c r="I18" s="32"/>
      <c r="J18" s="32"/>
      <c r="K18" s="32"/>
      <c r="L18" s="19"/>
      <c r="M18" s="19"/>
      <c r="N18" s="19"/>
      <c r="O18" s="48"/>
      <c r="P18" s="7"/>
    </row>
    <row r="19" spans="1:16" s="1" customFormat="1" ht="20.100000000000001" customHeight="1" thickBot="1" x14ac:dyDescent="0.3">
      <c r="A19" s="7"/>
      <c r="B19" s="35"/>
      <c r="C19" s="36"/>
      <c r="D19" s="37"/>
      <c r="E19" s="38"/>
      <c r="F19" s="38" t="s">
        <v>42</v>
      </c>
      <c r="G19" s="713">
        <f>L69</f>
        <v>418.02380459821086</v>
      </c>
      <c r="H19" s="714"/>
      <c r="I19" s="714"/>
      <c r="J19" s="40"/>
      <c r="K19" s="41"/>
      <c r="L19" s="39"/>
      <c r="M19" s="40"/>
      <c r="N19" s="649" t="s">
        <v>156</v>
      </c>
      <c r="O19" s="48"/>
      <c r="P19" s="7"/>
    </row>
    <row r="20" spans="1:16" s="1" customFormat="1" ht="14.1" customHeight="1" x14ac:dyDescent="0.25">
      <c r="A20" s="7"/>
      <c r="B20" s="13"/>
      <c r="C20" s="18"/>
      <c r="D20" s="15"/>
      <c r="E20" s="20"/>
      <c r="F20" s="28"/>
      <c r="G20" s="29"/>
      <c r="H20" s="30"/>
      <c r="I20" s="29"/>
      <c r="J20" s="30"/>
      <c r="K20" s="29"/>
      <c r="L20" s="19"/>
      <c r="M20" s="19"/>
      <c r="N20" s="19"/>
      <c r="O20" s="48"/>
      <c r="P20" s="7"/>
    </row>
    <row r="21" spans="1:16" s="1" customFormat="1" ht="20.100000000000001" customHeight="1" x14ac:dyDescent="0.3">
      <c r="A21" s="7"/>
      <c r="B21" s="13"/>
      <c r="C21" s="31" t="s">
        <v>139</v>
      </c>
      <c r="D21" s="32"/>
      <c r="E21" s="33"/>
      <c r="F21" s="34"/>
      <c r="G21" s="34"/>
      <c r="H21" s="32"/>
      <c r="I21" s="32"/>
      <c r="J21" s="32"/>
      <c r="K21" s="32"/>
      <c r="L21" s="19"/>
      <c r="M21" s="19"/>
      <c r="N21" s="19"/>
      <c r="O21" s="48"/>
      <c r="P21" s="7"/>
    </row>
    <row r="22" spans="1:16" s="1" customFormat="1" ht="20.100000000000001" customHeight="1" thickBot="1" x14ac:dyDescent="0.3">
      <c r="A22" s="7"/>
      <c r="B22" s="42"/>
      <c r="C22" s="43"/>
      <c r="D22" s="44"/>
      <c r="E22" s="45"/>
      <c r="F22" s="45" t="s">
        <v>140</v>
      </c>
      <c r="G22" s="715">
        <f>L72</f>
        <v>503.05753786785334</v>
      </c>
      <c r="H22" s="716"/>
      <c r="I22" s="716"/>
      <c r="J22" s="532"/>
      <c r="K22" s="46"/>
      <c r="L22" s="533"/>
      <c r="M22" s="532"/>
      <c r="N22" s="651" t="s">
        <v>156</v>
      </c>
      <c r="O22" s="48"/>
      <c r="P22" s="7"/>
    </row>
    <row r="23" spans="1:16" s="1" customFormat="1" ht="12" customHeight="1" thickBot="1" x14ac:dyDescent="0.3">
      <c r="A23" s="7"/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56"/>
      <c r="P23" s="7"/>
    </row>
    <row r="24" spans="1:16" s="1" customFormat="1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s="1" customFormat="1" ht="21.95" customHeight="1" x14ac:dyDescent="0.25">
      <c r="A25" s="7"/>
      <c r="B25" s="73"/>
      <c r="C25" s="80" t="s">
        <v>152</v>
      </c>
      <c r="D25" s="75"/>
      <c r="E25" s="76"/>
      <c r="F25" s="76"/>
      <c r="G25" s="74"/>
      <c r="H25" s="74"/>
      <c r="I25" s="74"/>
      <c r="J25" s="74"/>
      <c r="K25" s="74"/>
      <c r="L25" s="534"/>
      <c r="M25" s="534"/>
      <c r="N25" s="534"/>
      <c r="O25" s="530"/>
      <c r="P25" s="7"/>
    </row>
    <row r="26" spans="1:16" s="1" customFormat="1" ht="9.9499999999999993" customHeight="1" x14ac:dyDescent="0.25">
      <c r="A26" s="7"/>
      <c r="B26" s="502"/>
      <c r="C26" s="503"/>
      <c r="D26" s="504"/>
      <c r="E26" s="505"/>
      <c r="F26" s="505"/>
      <c r="G26" s="506"/>
      <c r="H26" s="506"/>
      <c r="I26" s="506"/>
      <c r="J26" s="506"/>
      <c r="K26" s="506"/>
      <c r="L26" s="19"/>
      <c r="M26" s="19"/>
      <c r="N26" s="19"/>
      <c r="O26" s="531"/>
      <c r="P26" s="7"/>
    </row>
    <row r="27" spans="1:16" s="1" customFormat="1" ht="20.100000000000001" customHeight="1" x14ac:dyDescent="0.3">
      <c r="A27" s="7"/>
      <c r="B27" s="13"/>
      <c r="C27" s="31" t="s">
        <v>141</v>
      </c>
      <c r="D27" s="32"/>
      <c r="E27" s="33"/>
      <c r="F27" s="34"/>
      <c r="G27" s="34"/>
      <c r="H27" s="32"/>
      <c r="I27" s="32"/>
      <c r="J27" s="32"/>
      <c r="K27" s="32"/>
      <c r="L27" s="32"/>
      <c r="M27" s="32"/>
      <c r="N27" s="32"/>
      <c r="O27" s="48"/>
      <c r="P27" s="7"/>
    </row>
    <row r="28" spans="1:16" s="1" customFormat="1" ht="20.100000000000001" customHeight="1" x14ac:dyDescent="0.25">
      <c r="A28" s="7"/>
      <c r="B28" s="13"/>
      <c r="C28" s="83"/>
      <c r="D28" s="84"/>
      <c r="E28" s="85"/>
      <c r="F28" s="85" t="s">
        <v>43</v>
      </c>
      <c r="G28" s="706">
        <f>L153</f>
        <v>514.86599999999999</v>
      </c>
      <c r="H28" s="707"/>
      <c r="I28" s="707"/>
      <c r="J28" s="723"/>
      <c r="K28" s="724"/>
      <c r="L28" s="701" t="s">
        <v>155</v>
      </c>
      <c r="M28" s="702"/>
      <c r="N28" s="703"/>
      <c r="O28" s="48"/>
      <c r="P28" s="7"/>
    </row>
    <row r="29" spans="1:16" s="1" customFormat="1" ht="15" customHeight="1" thickBot="1" x14ac:dyDescent="0.35">
      <c r="A29" s="7"/>
      <c r="B29" s="13"/>
      <c r="C29" s="116"/>
      <c r="D29" s="117"/>
      <c r="E29" s="118"/>
      <c r="F29" s="119" t="s">
        <v>61</v>
      </c>
      <c r="G29" s="717">
        <f>L154</f>
        <v>580.26</v>
      </c>
      <c r="H29" s="718"/>
      <c r="I29" s="718"/>
      <c r="J29" s="725"/>
      <c r="K29" s="725"/>
      <c r="L29" s="704"/>
      <c r="M29" s="704"/>
      <c r="N29" s="705"/>
      <c r="O29" s="48"/>
      <c r="P29" s="7"/>
    </row>
    <row r="30" spans="1:16" s="1" customFormat="1" ht="12" customHeight="1" thickBot="1" x14ac:dyDescent="0.3">
      <c r="A30" s="7"/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56"/>
      <c r="P30" s="7"/>
    </row>
    <row r="31" spans="1:16" s="1" customFormat="1" ht="20.100000000000001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1" customFormat="1" ht="12" customHeight="1" x14ac:dyDescent="0.25">
      <c r="A32" s="7"/>
      <c r="B32" s="659" t="s">
        <v>158</v>
      </c>
      <c r="C32" s="630" t="s">
        <v>159</v>
      </c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7"/>
      <c r="P32" s="7"/>
    </row>
    <row r="33" spans="1:19" s="1" customFormat="1" ht="12" customHeight="1" x14ac:dyDescent="0.25">
      <c r="A33" s="7"/>
      <c r="B33" s="7"/>
      <c r="C33" s="630" t="s">
        <v>160</v>
      </c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7"/>
      <c r="P33" s="7"/>
    </row>
    <row r="34" spans="1:19" s="1" customFormat="1" ht="12" customHeight="1" x14ac:dyDescent="0.25">
      <c r="A34" s="7"/>
      <c r="B34" s="7"/>
      <c r="C34" s="630" t="s">
        <v>161</v>
      </c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7"/>
      <c r="P34" s="7"/>
    </row>
    <row r="35" spans="1:19" s="1" customFormat="1" ht="12" customHeight="1" x14ac:dyDescent="0.25">
      <c r="A35" s="7"/>
      <c r="B35" s="7"/>
      <c r="C35" s="630" t="s">
        <v>162</v>
      </c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7"/>
      <c r="P35" s="7"/>
    </row>
    <row r="36" spans="1:19" s="1" customFormat="1" ht="12" customHeight="1" x14ac:dyDescent="0.25">
      <c r="A36" s="7"/>
      <c r="B36" s="7"/>
      <c r="C36" s="630" t="s">
        <v>163</v>
      </c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7"/>
      <c r="P36" s="7"/>
    </row>
    <row r="37" spans="1:19" s="1" customFormat="1" ht="20.100000000000001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9" ht="39.950000000000003" hidden="1" customHeight="1" x14ac:dyDescent="0.25">
      <c r="A38" s="6"/>
      <c r="B38" s="212" t="s">
        <v>74</v>
      </c>
      <c r="C38" s="213"/>
      <c r="D38" s="213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6"/>
    </row>
    <row r="39" spans="1:19" ht="15" hidden="1" customHeight="1" x14ac:dyDescent="0.3">
      <c r="A39" s="6"/>
      <c r="B39" s="215"/>
      <c r="C39" s="216"/>
      <c r="D39" s="216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563"/>
      <c r="P39" s="6"/>
    </row>
    <row r="40" spans="1:19" ht="21.95" hidden="1" customHeight="1" thickBot="1" x14ac:dyDescent="0.3">
      <c r="A40" s="6"/>
      <c r="B40" s="218"/>
      <c r="C40" s="564" t="s">
        <v>5</v>
      </c>
      <c r="D40" s="564"/>
      <c r="E40" s="565"/>
      <c r="F40" s="548">
        <f>E5</f>
        <v>1025</v>
      </c>
      <c r="G40" s="566" t="s">
        <v>2</v>
      </c>
      <c r="H40" s="708" t="s">
        <v>6</v>
      </c>
      <c r="I40" s="219" t="s">
        <v>75</v>
      </c>
      <c r="J40" s="220"/>
      <c r="K40" s="221"/>
      <c r="L40" s="221"/>
      <c r="M40" s="221"/>
      <c r="N40" s="222"/>
      <c r="O40" s="567"/>
      <c r="P40" s="6"/>
      <c r="S40" s="223"/>
    </row>
    <row r="41" spans="1:19" ht="9.9499999999999993" hidden="1" customHeight="1" thickTop="1" x14ac:dyDescent="0.25">
      <c r="A41" s="4"/>
      <c r="B41" s="218"/>
      <c r="C41" s="564"/>
      <c r="D41" s="564"/>
      <c r="E41" s="565"/>
      <c r="F41" s="565"/>
      <c r="G41" s="565"/>
      <c r="H41" s="709"/>
      <c r="I41" s="568">
        <f>F42-(F40-1013)*28</f>
        <v>202</v>
      </c>
      <c r="J41" s="569">
        <f>ROUND(I41/3.28084,0)</f>
        <v>62</v>
      </c>
      <c r="K41" s="719" t="str">
        <f>IF(J41&lt;1501,"",I41)</f>
        <v/>
      </c>
      <c r="L41" s="720"/>
      <c r="M41" s="721" t="str">
        <f>IF(J41&lt;1501,"",J41)</f>
        <v/>
      </c>
      <c r="N41" s="722"/>
      <c r="O41" s="567"/>
      <c r="P41" s="6"/>
      <c r="R41" s="224"/>
    </row>
    <row r="42" spans="1:19" ht="21.95" hidden="1" customHeight="1" thickBot="1" x14ac:dyDescent="0.3">
      <c r="A42" s="4"/>
      <c r="B42" s="218"/>
      <c r="C42" s="564" t="s">
        <v>76</v>
      </c>
      <c r="D42" s="564"/>
      <c r="E42" s="565"/>
      <c r="F42" s="548">
        <f>E7</f>
        <v>538</v>
      </c>
      <c r="G42" s="566" t="s">
        <v>1</v>
      </c>
      <c r="H42" s="709"/>
      <c r="I42" s="549">
        <f>IF(J41&lt;1501,I41,"altitude max du manuel de vol = 1500 m")</f>
        <v>202</v>
      </c>
      <c r="J42" s="225"/>
      <c r="K42" s="226"/>
      <c r="L42" s="226"/>
      <c r="M42" s="226"/>
      <c r="N42" s="561">
        <f>F42-(F40-1013)*28</f>
        <v>202</v>
      </c>
      <c r="O42" s="567"/>
      <c r="P42" s="6"/>
      <c r="S42" s="223"/>
    </row>
    <row r="43" spans="1:19" ht="9.9499999999999993" hidden="1" customHeight="1" thickTop="1" thickBot="1" x14ac:dyDescent="0.3">
      <c r="A43" s="4"/>
      <c r="B43" s="218"/>
      <c r="C43" s="570"/>
      <c r="D43" s="570"/>
      <c r="E43" s="565"/>
      <c r="F43" s="565"/>
      <c r="G43" s="571"/>
      <c r="H43" s="566"/>
      <c r="I43" s="564"/>
      <c r="J43" s="572"/>
      <c r="K43" s="572"/>
      <c r="L43" s="572"/>
      <c r="M43" s="571"/>
      <c r="N43" s="566"/>
      <c r="O43" s="567"/>
      <c r="P43" s="6"/>
    </row>
    <row r="44" spans="1:19" ht="20.100000000000001" hidden="1" customHeight="1" thickBot="1" x14ac:dyDescent="0.3">
      <c r="A44" s="4"/>
      <c r="B44" s="218"/>
      <c r="C44" s="227" t="s">
        <v>77</v>
      </c>
      <c r="D44" s="227"/>
      <c r="E44" s="228" t="s">
        <v>0</v>
      </c>
      <c r="F44" s="229"/>
      <c r="G44" s="508" t="s">
        <v>78</v>
      </c>
      <c r="H44" s="508"/>
      <c r="I44" s="508"/>
      <c r="J44" s="508"/>
      <c r="K44" s="509" t="s">
        <v>79</v>
      </c>
      <c r="L44" s="508"/>
      <c r="M44" s="508"/>
      <c r="N44" s="510"/>
      <c r="O44" s="567"/>
      <c r="P44" s="6"/>
    </row>
    <row r="45" spans="1:19" ht="20.100000000000001" hidden="1" customHeight="1" thickBot="1" x14ac:dyDescent="0.3">
      <c r="A45" s="4"/>
      <c r="B45" s="218"/>
      <c r="C45" s="233" t="s">
        <v>80</v>
      </c>
      <c r="D45" s="233"/>
      <c r="E45" s="234"/>
      <c r="F45" s="235"/>
      <c r="G45" s="511" t="s">
        <v>81</v>
      </c>
      <c r="H45" s="512"/>
      <c r="I45" s="511" t="s">
        <v>82</v>
      </c>
      <c r="J45" s="512"/>
      <c r="K45" s="511" t="s">
        <v>81</v>
      </c>
      <c r="L45" s="513"/>
      <c r="M45" s="512" t="s">
        <v>82</v>
      </c>
      <c r="N45" s="513"/>
      <c r="O45" s="567"/>
      <c r="P45" s="6"/>
    </row>
    <row r="46" spans="1:19" ht="18" hidden="1" customHeight="1" x14ac:dyDescent="0.25">
      <c r="A46" s="4"/>
      <c r="B46" s="218"/>
      <c r="C46" s="231"/>
      <c r="D46" s="232"/>
      <c r="E46" s="239"/>
      <c r="F46" s="240">
        <v>0</v>
      </c>
      <c r="G46" s="514">
        <f>IF($C$47&lt;=$C$86,G80+($C$47-$C$82)*(G84-G80)/($C$86-$C$82),IF($C$47&lt;=$C$90,G84+($C$47-$C$86)*(G88-G84)/($C$90-$C$86),G88+($C$47-$C$90)*(G92-G88)/($C$94-$C$90)))</f>
        <v>446.15703486954402</v>
      </c>
      <c r="H46" s="515">
        <f>G46*60/100</f>
        <v>267.69422092172641</v>
      </c>
      <c r="I46" s="514">
        <f>IF($C$47&lt;=$C$86,I80+($C$47-$C$82)*(I84-I80)/($C$86-$C$82),IF($C$47&lt;=$C$90,I84+($C$47-$C$86)*(I88-I84)/($C$90-$C$86),I88+($C$47-$C$90)*(I92-I88)/($C$94-$C$90)))</f>
        <v>529.85125579127043</v>
      </c>
      <c r="J46" s="515">
        <f>I46*70/100</f>
        <v>370.8958790538893</v>
      </c>
      <c r="K46" s="516">
        <f>IF($C$47&lt;=$C$86,K80+($C$47-$C$82)*(K84-K80)/($C$86-$C$82),IF($C$47&lt;=$C$90,K84+($C$47-$C$86)*(K88-K84)/($C$90-$C$86),K88+($C$47-$C$90)*(K92-K88)/($C$94-$C$90)))</f>
        <v>265.27205905438416</v>
      </c>
      <c r="L46" s="517">
        <f>K46*60/100</f>
        <v>159.1632354326305</v>
      </c>
      <c r="M46" s="516">
        <f>IF($C$47&lt;=$C$86,M80+($C$47-$C$82)*(M84-M80)/($C$86-$C$82),IF($C$47&lt;=$C$90,M84+($C$47-$C$86)*(M88-M84)/($C$90-$C$86),M88+($C$47-$C$90)*(M92-M88)/($C$94-$C$90)))</f>
        <v>315.03422031079168</v>
      </c>
      <c r="N46" s="517">
        <f>M46*70/100</f>
        <v>220.52395421755418</v>
      </c>
      <c r="O46" s="567"/>
      <c r="P46" s="6"/>
    </row>
    <row r="47" spans="1:19" ht="18" hidden="1" customHeight="1" x14ac:dyDescent="0.25">
      <c r="A47" s="4"/>
      <c r="B47" s="218"/>
      <c r="C47" s="241">
        <f>IF(J41&lt;1501,IF(F61&lt;841,I41,"#####"),"#####")</f>
        <v>202</v>
      </c>
      <c r="D47" s="242"/>
      <c r="E47" s="243"/>
      <c r="F47" s="244">
        <v>15</v>
      </c>
      <c r="G47" s="518">
        <f>IF($C$47&lt;=$C$86,G81+($C$47-$C$82)*(G85-G81)/($C$86-$C$82),IF($C$47&lt;=$C$90,G85+($C$47-$C$86)*(G89-G85)/($C$90-$C$86),G89+($C$47-$C$90)*(G93-G89)/($C$94-$C$90)))</f>
        <v>478.61984881736163</v>
      </c>
      <c r="H47" s="519">
        <f>G47*60/100</f>
        <v>287.17190929041698</v>
      </c>
      <c r="I47" s="518">
        <f>IF($C$47&lt;=$C$86,I81+($C$47-$C$82)*(I85-I81)/($C$86-$C$82),IF($C$47&lt;=$C$90,I85+($C$47-$C$86)*(I89-I85)/($C$90-$C$86),I89+($C$47-$C$90)*(I93-I89)/($C$94-$C$90)))</f>
        <v>572.31406973908804</v>
      </c>
      <c r="J47" s="519">
        <f>I47*70/100</f>
        <v>400.61984881736163</v>
      </c>
      <c r="K47" s="520">
        <f>IF($C$47&lt;=$C$86,K81+($C$47-$C$82)*(K85-K81)/($C$86-$C$82),IF($C$47&lt;=$C$90,K85+($C$47-$C$86)*(K89-K85)/($C$90-$C$86),K89+($C$47-$C$90)*(K93-K89)/($C$94-$C$90)))</f>
        <v>284.5735086015261</v>
      </c>
      <c r="L47" s="521">
        <f>K47*60/100</f>
        <v>170.74410516091564</v>
      </c>
      <c r="M47" s="520">
        <f>IF($C$47&lt;=$C$86,M81+($C$47-$C$82)*(M85-M81)/($C$86-$C$82),IF($C$47&lt;=$C$90,M85+($C$47-$C$86)*(M89-M85)/($C$90-$C$86),M89+($C$47-$C$90)*(M93-M89)/($C$94-$C$90)))</f>
        <v>340.28138041098924</v>
      </c>
      <c r="N47" s="521">
        <f>M47*70/100</f>
        <v>238.19696628769248</v>
      </c>
      <c r="O47" s="567"/>
      <c r="P47" s="6"/>
    </row>
    <row r="48" spans="1:19" ht="18" hidden="1" customHeight="1" x14ac:dyDescent="0.25">
      <c r="A48" s="4"/>
      <c r="B48" s="218"/>
      <c r="C48" s="241"/>
      <c r="D48" s="242"/>
      <c r="E48" s="245"/>
      <c r="F48" s="246">
        <v>30</v>
      </c>
      <c r="G48" s="518">
        <f>IF($C$47&lt;=$C$86,G82+($C$47-$C$82)*(G86-G82)/($C$86-$C$82),IF($C$47&lt;=$C$90,G86+($C$47-$C$86)*(G90-G86)/($C$90-$C$86),G90+($C$47-$C$90)*(G94-G90)/($C$94-$C$90)))</f>
        <v>509.85125579127043</v>
      </c>
      <c r="H48" s="519">
        <f>G48*60/100</f>
        <v>305.91075347476226</v>
      </c>
      <c r="I48" s="518">
        <f>IF($C$47&lt;=$C$86,I82+($C$47-$C$82)*(I86-I82)/($C$86-$C$82),IF($C$47&lt;=$C$90,I86+($C$47-$C$86)*(I90-I86)/($C$90-$C$86),I90+($C$47-$C$90)*(I94-I90)/($C$94-$C$90)))</f>
        <v>616.0082906608144</v>
      </c>
      <c r="J48" s="519">
        <f>I48*70/100</f>
        <v>431.20580346257009</v>
      </c>
      <c r="K48" s="520">
        <f>IF($C$47&lt;=$C$86,K82+($C$47-$C$82)*(K86-K82)/($C$86-$C$82),IF($C$47&lt;=$C$90,K86+($C$47-$C$86)*(K90-K86)/($C$90-$C$86),K90+($C$47-$C$90)*(K94-K90)/($C$94-$C$90)))</f>
        <v>303.1427992046805</v>
      </c>
      <c r="L48" s="521">
        <f>K48*60/100</f>
        <v>181.88567952280832</v>
      </c>
      <c r="M48" s="520">
        <f>IF($C$47&lt;=$C$86,M82+($C$47-$C$82)*(M86-M82)/($C$86-$C$82),IF($C$47&lt;=$C$90,M86+($C$47-$C$86)*(M90-M86)/($C$90-$C$86),M90+($C$47-$C$90)*(M94-M90)/($C$94-$C$90)))</f>
        <v>366.26069945517435</v>
      </c>
      <c r="N48" s="521">
        <f>M48*70/100</f>
        <v>256.38248961862206</v>
      </c>
      <c r="O48" s="567"/>
      <c r="P48" s="6"/>
    </row>
    <row r="49" spans="1:16" ht="18" hidden="1" customHeight="1" thickBot="1" x14ac:dyDescent="0.3">
      <c r="A49" s="4"/>
      <c r="B49" s="218"/>
      <c r="C49" s="247"/>
      <c r="D49" s="248"/>
      <c r="E49" s="249"/>
      <c r="F49" s="250">
        <v>45</v>
      </c>
      <c r="G49" s="522">
        <f>IF($C$47&lt;=$C$86,G83+($C$47-$C$82)*(G87-G83)/($C$86-$C$82),IF($C$47&lt;=$C$90,G87+($C$47-$C$86)*(G91-G87)/($C$90-$C$86),G91+($C$47-$C$90)*(G95-G91)/($C$94-$C$90)))</f>
        <v>551.08266276517918</v>
      </c>
      <c r="H49" s="523">
        <f>G49*60/100</f>
        <v>330.64959765910754</v>
      </c>
      <c r="I49" s="522">
        <f>IF($C$47&lt;=$C$86,I83+($C$47-$C$82)*(I87-I83)/($C$86-$C$82),IF($C$47&lt;=$C$90,I87+($C$47-$C$86)*(I91-I87)/($C$90-$C$86),I91+($C$47-$C$90)*(I95-I91)/($C$94-$C$90)))</f>
        <v>677.23969763472326</v>
      </c>
      <c r="J49" s="523">
        <f>I49*70/100</f>
        <v>474.06778834430622</v>
      </c>
      <c r="K49" s="524">
        <f>IF($C$47&lt;=$C$86,K83+($C$47-$C$82)*(K87-K83)/($C$86-$C$82),IF($C$47&lt;=$C$90,K87+($C$47-$C$86)*(K91-K87)/($C$90-$C$86),K91+($C$47-$C$90)*(K95-K91)/($C$94-$C$90)))</f>
        <v>327.65780036089041</v>
      </c>
      <c r="L49" s="525">
        <f>K49*60/100</f>
        <v>196.59468021653424</v>
      </c>
      <c r="M49" s="524">
        <f>IF($C$47&lt;=$C$86,M83+($C$47-$C$82)*(M87-M83)/($C$86-$C$82),IF($C$47&lt;=$C$90,M87+($C$47-$C$86)*(M91-M87)/($C$90-$C$86),M91+($C$47-$C$90)*(M95-M91)/($C$94-$C$90)))</f>
        <v>402.66712171749555</v>
      </c>
      <c r="N49" s="525">
        <f>M49*70/100</f>
        <v>281.86698520224689</v>
      </c>
      <c r="O49" s="567"/>
      <c r="P49" s="6"/>
    </row>
    <row r="50" spans="1:16" ht="9.9499999999999993" hidden="1" customHeight="1" x14ac:dyDescent="0.25">
      <c r="A50" s="4"/>
      <c r="B50" s="218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567"/>
      <c r="P50" s="6"/>
    </row>
    <row r="51" spans="1:16" ht="21.95" hidden="1" customHeight="1" thickBot="1" x14ac:dyDescent="0.3">
      <c r="A51" s="4"/>
      <c r="B51" s="218"/>
      <c r="C51" s="564" t="s">
        <v>0</v>
      </c>
      <c r="D51" s="564"/>
      <c r="E51" s="565"/>
      <c r="F51" s="548">
        <f>E9</f>
        <v>24</v>
      </c>
      <c r="G51" s="566" t="s">
        <v>10</v>
      </c>
      <c r="H51" s="573"/>
      <c r="I51" s="574"/>
      <c r="J51" s="575"/>
      <c r="K51" s="576"/>
      <c r="L51" s="576"/>
      <c r="M51" s="576"/>
      <c r="N51" s="576"/>
      <c r="O51" s="567"/>
      <c r="P51" s="6"/>
    </row>
    <row r="52" spans="1:16" ht="9.9499999999999993" hidden="1" customHeight="1" thickTop="1" thickBot="1" x14ac:dyDescent="0.3">
      <c r="A52" s="4"/>
      <c r="B52" s="218"/>
      <c r="C52" s="564"/>
      <c r="D52" s="564"/>
      <c r="E52" s="565"/>
      <c r="F52" s="565"/>
      <c r="G52" s="566"/>
      <c r="H52" s="573"/>
      <c r="I52" s="575"/>
      <c r="J52" s="575"/>
      <c r="K52" s="576"/>
      <c r="L52" s="576"/>
      <c r="M52" s="576"/>
      <c r="N52" s="576"/>
      <c r="O52" s="567"/>
      <c r="P52" s="6"/>
    </row>
    <row r="53" spans="1:16" ht="20.100000000000001" hidden="1" customHeight="1" thickBot="1" x14ac:dyDescent="0.3">
      <c r="A53" s="4"/>
      <c r="B53" s="218"/>
      <c r="C53" s="570"/>
      <c r="D53" s="570"/>
      <c r="E53" s="565"/>
      <c r="F53" s="565">
        <f>IF(F51&lt;46,F51,"#####")</f>
        <v>24</v>
      </c>
      <c r="G53" s="252">
        <f>IF($F$53&lt;$F$47,G46+($F$53-$F$46)*(G47-G46)/($F$47-$F$46),IF($F$53&lt;$F$48,G47+($F$53-$F$47)*(G48-G47)/($F$48-$F$47),G48+($F$53-$F$48)*(G49-G48)/($F$49-$F$48)))</f>
        <v>497.35869300170691</v>
      </c>
      <c r="H53" s="253">
        <f>G53*60/100</f>
        <v>298.41521580102415</v>
      </c>
      <c r="I53" s="252">
        <f>IF($F$53&lt;$F$47,I46+($F$53-$F$46)*(I47-I46)/($F$47-$F$46),IF($F$53&lt;$F$48,I47+($F$53-$F$47)*(I48-I47)/($F$48-$F$47),I48+($F$53-$F$48)*(I49-I48)/($F$49-$F$48)))</f>
        <v>598.53060229212383</v>
      </c>
      <c r="J53" s="253">
        <f>I53*70/100</f>
        <v>418.97142160448669</v>
      </c>
      <c r="K53" s="252">
        <f>IF($F$53&lt;$F$47,K46+($F$53-$F$46)*(K47-K46)/($F$47-$F$46),IF($F$53&lt;$F$48,K47+($F$53-$F$47)*(K48-K47)/($F$48-$F$47),K48+($F$53-$F$48)*(K49-K48)/($F$49-$F$48)))</f>
        <v>295.71508296341875</v>
      </c>
      <c r="L53" s="254">
        <f>K53*60/100</f>
        <v>177.42904977805128</v>
      </c>
      <c r="M53" s="252">
        <f>IF($F$53&lt;$F$47,M46+($F$53-$F$46)*(M47-M46)/($F$47-$F$46),IF($F$53&lt;$F$48,M47+($F$53-$F$47)*(M48-M47)/($F$48-$F$47),M48+($F$53-$F$48)*(M49-M48)/($F$49-$F$48)))</f>
        <v>355.86897183750028</v>
      </c>
      <c r="N53" s="254">
        <f>M53*70/100</f>
        <v>249.10828028625019</v>
      </c>
      <c r="O53" s="567"/>
      <c r="P53" s="6"/>
    </row>
    <row r="54" spans="1:16" ht="9.9499999999999993" hidden="1" customHeight="1" x14ac:dyDescent="0.25">
      <c r="A54" s="4"/>
      <c r="B54" s="218"/>
      <c r="C54" s="570"/>
      <c r="D54" s="570"/>
      <c r="E54" s="565"/>
      <c r="F54" s="577"/>
      <c r="G54" s="578"/>
      <c r="H54" s="579"/>
      <c r="I54" s="580"/>
      <c r="J54" s="579"/>
      <c r="K54" s="580"/>
      <c r="L54" s="579"/>
      <c r="M54" s="580"/>
      <c r="N54" s="579"/>
      <c r="O54" s="567"/>
      <c r="P54" s="6"/>
    </row>
    <row r="55" spans="1:16" ht="21.95" hidden="1" customHeight="1" thickBot="1" x14ac:dyDescent="0.3">
      <c r="A55" s="4"/>
      <c r="B55" s="218"/>
      <c r="C55" s="564" t="s">
        <v>83</v>
      </c>
      <c r="D55" s="564"/>
      <c r="E55" s="565"/>
      <c r="F55" s="548">
        <f>E11</f>
        <v>9</v>
      </c>
      <c r="G55" s="566" t="s">
        <v>3</v>
      </c>
      <c r="H55" s="581" t="s">
        <v>84</v>
      </c>
      <c r="I55" s="582" t="s">
        <v>85</v>
      </c>
      <c r="J55" s="575"/>
      <c r="K55" s="576"/>
      <c r="L55" s="576"/>
      <c r="M55" s="576"/>
      <c r="N55" s="576"/>
      <c r="O55" s="567"/>
      <c r="P55" s="6"/>
    </row>
    <row r="56" spans="1:16" ht="9.9499999999999993" hidden="1" customHeight="1" thickTop="1" thickBot="1" x14ac:dyDescent="0.3">
      <c r="A56" s="4"/>
      <c r="B56" s="218"/>
      <c r="C56" s="564"/>
      <c r="D56" s="564"/>
      <c r="E56" s="565"/>
      <c r="F56" s="565"/>
      <c r="G56" s="566"/>
      <c r="H56" s="583"/>
      <c r="I56" s="575"/>
      <c r="J56" s="575"/>
      <c r="K56" s="576"/>
      <c r="L56" s="576"/>
      <c r="M56" s="576"/>
      <c r="N56" s="576"/>
      <c r="O56" s="567"/>
      <c r="P56" s="6"/>
    </row>
    <row r="57" spans="1:16" ht="20.100000000000001" hidden="1" customHeight="1" thickBot="1" x14ac:dyDescent="0.3">
      <c r="A57" s="4"/>
      <c r="B57" s="218"/>
      <c r="C57" s="572" t="s">
        <v>86</v>
      </c>
      <c r="D57" s="572"/>
      <c r="E57" s="584"/>
      <c r="F57" s="585">
        <f>IF(F55&gt;=0,IF(F55&lt;G98,1+(F55)*(J98-1)/(G98-0),IF(F55&lt;G99,J98+(F55-G98)*(J99-J98)/(G99-G98),J99+(F55-G99)*(J100-J99)/(G100-G99))),1+0.1*IF(INT(-F55/2)&lt;&gt;-F55/2,INT(-F55/2+1),INT(-F55/2)))</f>
        <v>0.86499999999999999</v>
      </c>
      <c r="G57" s="586"/>
      <c r="H57" s="566"/>
      <c r="I57" s="255"/>
      <c r="J57" s="256" t="s">
        <v>25</v>
      </c>
      <c r="K57" s="257">
        <f>F61</f>
        <v>763.5</v>
      </c>
      <c r="L57" s="258" t="s">
        <v>4</v>
      </c>
      <c r="M57" s="572"/>
      <c r="N57" s="572"/>
      <c r="O57" s="567"/>
      <c r="P57" s="6"/>
    </row>
    <row r="58" spans="1:16" ht="20.100000000000001" hidden="1" customHeight="1" thickBot="1" x14ac:dyDescent="0.3">
      <c r="A58" s="4"/>
      <c r="B58" s="218"/>
      <c r="C58" s="570"/>
      <c r="D58" s="570"/>
      <c r="E58" s="565"/>
      <c r="F58" s="587"/>
      <c r="G58" s="572"/>
      <c r="H58" s="566"/>
      <c r="I58" s="236" t="s">
        <v>81</v>
      </c>
      <c r="J58" s="237"/>
      <c r="K58" s="236" t="s">
        <v>82</v>
      </c>
      <c r="L58" s="238"/>
      <c r="M58" s="572"/>
      <c r="N58" s="572"/>
      <c r="O58" s="567"/>
      <c r="P58" s="6"/>
    </row>
    <row r="59" spans="1:16" ht="20.100000000000001" hidden="1" customHeight="1" thickBot="1" x14ac:dyDescent="0.3">
      <c r="A59" s="4"/>
      <c r="B59" s="218"/>
      <c r="C59" s="570"/>
      <c r="D59" s="570"/>
      <c r="E59" s="565"/>
      <c r="F59" s="587"/>
      <c r="G59" s="572"/>
      <c r="H59" s="572"/>
      <c r="I59" s="252">
        <f>I65*F57</f>
        <v>363.4989605201834</v>
      </c>
      <c r="J59" s="253">
        <f>J65*F57</f>
        <v>218.09937631211002</v>
      </c>
      <c r="K59" s="252">
        <f>K65*F57</f>
        <v>437.44133727639422</v>
      </c>
      <c r="L59" s="253">
        <f>L65*F57</f>
        <v>306.20893609347593</v>
      </c>
      <c r="M59" s="588"/>
      <c r="N59" s="588"/>
      <c r="O59" s="567"/>
      <c r="P59" s="6"/>
    </row>
    <row r="60" spans="1:16" ht="9.9499999999999993" hidden="1" customHeight="1" x14ac:dyDescent="0.25">
      <c r="A60" s="4"/>
      <c r="B60" s="218"/>
      <c r="C60" s="570"/>
      <c r="D60" s="570"/>
      <c r="E60" s="565"/>
      <c r="F60" s="577"/>
      <c r="G60" s="589"/>
      <c r="H60" s="590"/>
      <c r="I60" s="591"/>
      <c r="J60" s="590"/>
      <c r="K60" s="591"/>
      <c r="L60" s="590"/>
      <c r="M60" s="591"/>
      <c r="N60" s="590"/>
      <c r="O60" s="567"/>
      <c r="P60" s="6"/>
    </row>
    <row r="61" spans="1:16" ht="21.95" hidden="1" customHeight="1" thickBot="1" x14ac:dyDescent="0.3">
      <c r="A61" s="4"/>
      <c r="B61" s="218"/>
      <c r="C61" s="564" t="s">
        <v>50</v>
      </c>
      <c r="D61" s="564"/>
      <c r="E61" s="565"/>
      <c r="F61" s="548">
        <f>E13</f>
        <v>763.5</v>
      </c>
      <c r="G61" s="566" t="s">
        <v>4</v>
      </c>
      <c r="H61" s="573"/>
      <c r="I61" s="592" t="str">
        <f>IF(F61&lt;=840," ","masse maximale 840 kg dépassée")</f>
        <v xml:space="preserve"> </v>
      </c>
      <c r="J61" s="575"/>
      <c r="K61" s="576"/>
      <c r="L61" s="576"/>
      <c r="M61" s="576"/>
      <c r="N61" s="593"/>
      <c r="O61" s="567"/>
      <c r="P61" s="6"/>
    </row>
    <row r="62" spans="1:16" ht="9.9499999999999993" hidden="1" customHeight="1" thickTop="1" thickBot="1" x14ac:dyDescent="0.3">
      <c r="A62" s="4"/>
      <c r="B62" s="218"/>
      <c r="C62" s="564"/>
      <c r="D62" s="564"/>
      <c r="E62" s="565"/>
      <c r="F62" s="565"/>
      <c r="G62" s="566"/>
      <c r="H62" s="573"/>
      <c r="I62" s="573"/>
      <c r="J62" s="575"/>
      <c r="K62" s="576"/>
      <c r="L62" s="576"/>
      <c r="M62" s="576"/>
      <c r="N62" s="576"/>
      <c r="O62" s="567"/>
      <c r="P62" s="6"/>
    </row>
    <row r="63" spans="1:16" ht="20.100000000000001" hidden="1" customHeight="1" thickBot="1" x14ac:dyDescent="0.3">
      <c r="A63" s="4"/>
      <c r="B63" s="218"/>
      <c r="C63" s="586" t="s">
        <v>87</v>
      </c>
      <c r="D63" s="586"/>
      <c r="E63" s="584"/>
      <c r="F63" s="584">
        <v>840</v>
      </c>
      <c r="G63" s="586" t="s">
        <v>4</v>
      </c>
      <c r="H63" s="594"/>
      <c r="I63" s="255"/>
      <c r="J63" s="256" t="s">
        <v>25</v>
      </c>
      <c r="K63" s="257">
        <f>F61</f>
        <v>763.5</v>
      </c>
      <c r="L63" s="258" t="s">
        <v>4</v>
      </c>
      <c r="M63" s="576"/>
      <c r="N63" s="576"/>
      <c r="O63" s="567"/>
      <c r="P63" s="6"/>
    </row>
    <row r="64" spans="1:16" ht="20.100000000000001" hidden="1" customHeight="1" thickBot="1" x14ac:dyDescent="0.3">
      <c r="A64" s="4"/>
      <c r="B64" s="218"/>
      <c r="C64" s="564" t="s">
        <v>88</v>
      </c>
      <c r="D64" s="564"/>
      <c r="E64" s="565"/>
      <c r="F64" s="584">
        <v>640</v>
      </c>
      <c r="G64" s="572" t="s">
        <v>4</v>
      </c>
      <c r="H64" s="594"/>
      <c r="I64" s="236" t="s">
        <v>81</v>
      </c>
      <c r="J64" s="237"/>
      <c r="K64" s="236" t="s">
        <v>82</v>
      </c>
      <c r="L64" s="238"/>
      <c r="M64" s="576"/>
      <c r="N64" s="576"/>
      <c r="O64" s="567"/>
      <c r="P64" s="6"/>
    </row>
    <row r="65" spans="1:16" ht="20.100000000000001" hidden="1" customHeight="1" thickBot="1" x14ac:dyDescent="0.3">
      <c r="A65" s="4"/>
      <c r="B65" s="218"/>
      <c r="C65" s="570"/>
      <c r="D65" s="570"/>
      <c r="E65" s="565"/>
      <c r="F65" s="565">
        <f>IF(F61&lt;841,F61,"#####")</f>
        <v>763.5</v>
      </c>
      <c r="G65" s="572"/>
      <c r="H65" s="576"/>
      <c r="I65" s="252">
        <f>K53+($F$65-$F$64)*(G53-K53)/($F$63-$F$64)</f>
        <v>420.23001216206171</v>
      </c>
      <c r="J65" s="253">
        <f>L53+($F$65-$F$64)*(H53-L53)/($F$63-$F$64)</f>
        <v>252.13800729723704</v>
      </c>
      <c r="K65" s="252">
        <f>M53+($F$65-$F$64)*(I53-M53)/($F$63-$F$64)</f>
        <v>505.71252864323031</v>
      </c>
      <c r="L65" s="253">
        <f>N53+($F$65-$F$64)*(J53-N53)/($F$63-$F$64)</f>
        <v>353.99877005026121</v>
      </c>
      <c r="M65" s="591"/>
      <c r="N65" s="591"/>
      <c r="O65" s="567"/>
      <c r="P65" s="6"/>
    </row>
    <row r="66" spans="1:16" ht="20.100000000000001" hidden="1" customHeight="1" x14ac:dyDescent="0.25">
      <c r="A66" s="4"/>
      <c r="B66" s="218"/>
      <c r="C66" s="570"/>
      <c r="D66" s="570"/>
      <c r="E66" s="565"/>
      <c r="F66" s="577"/>
      <c r="G66" s="588"/>
      <c r="H66" s="590"/>
      <c r="I66" s="591"/>
      <c r="J66" s="590"/>
      <c r="K66" s="591"/>
      <c r="L66" s="590"/>
      <c r="M66" s="591"/>
      <c r="N66" s="590"/>
      <c r="O66" s="567"/>
      <c r="P66" s="6"/>
    </row>
    <row r="67" spans="1:16" ht="35.1" hidden="1" customHeight="1" x14ac:dyDescent="0.3">
      <c r="A67" s="4"/>
      <c r="B67" s="218"/>
      <c r="C67" s="259" t="s">
        <v>89</v>
      </c>
      <c r="D67" s="595"/>
      <c r="E67" s="596"/>
      <c r="F67" s="260"/>
      <c r="G67" s="261"/>
      <c r="H67" s="261"/>
      <c r="I67" s="596"/>
      <c r="J67" s="596"/>
      <c r="K67" s="596"/>
      <c r="L67" s="596"/>
      <c r="M67" s="596"/>
      <c r="N67" s="596"/>
      <c r="O67" s="567"/>
      <c r="P67" s="6"/>
    </row>
    <row r="68" spans="1:16" ht="12" hidden="1" customHeight="1" thickBot="1" x14ac:dyDescent="0.3">
      <c r="A68" s="4"/>
      <c r="B68" s="218"/>
      <c r="C68" s="262"/>
      <c r="D68" s="263"/>
      <c r="E68" s="264"/>
      <c r="F68" s="265"/>
      <c r="G68" s="265"/>
      <c r="H68" s="265"/>
      <c r="I68" s="265"/>
      <c r="J68" s="266"/>
      <c r="K68" s="267" t="s">
        <v>90</v>
      </c>
      <c r="L68" s="268">
        <f>I59</f>
        <v>363.4989605201834</v>
      </c>
      <c r="M68" s="269" t="s">
        <v>91</v>
      </c>
      <c r="N68" s="270"/>
      <c r="O68" s="567"/>
      <c r="P68" s="6"/>
    </row>
    <row r="69" spans="1:16" ht="39.950000000000003" hidden="1" customHeight="1" thickBot="1" x14ac:dyDescent="0.3">
      <c r="A69" s="4"/>
      <c r="B69" s="218"/>
      <c r="C69" s="271"/>
      <c r="D69" s="272"/>
      <c r="E69" s="273"/>
      <c r="F69" s="273"/>
      <c r="G69" s="273"/>
      <c r="H69" s="273"/>
      <c r="I69" s="273"/>
      <c r="J69" s="274"/>
      <c r="K69" s="275" t="s">
        <v>92</v>
      </c>
      <c r="L69" s="276">
        <f>L68*1.15</f>
        <v>418.02380459821086</v>
      </c>
      <c r="M69" s="277" t="s">
        <v>91</v>
      </c>
      <c r="N69" s="526" t="s">
        <v>142</v>
      </c>
      <c r="O69" s="567"/>
      <c r="P69" s="6"/>
    </row>
    <row r="70" spans="1:16" ht="45" hidden="1" customHeight="1" thickTop="1" x14ac:dyDescent="0.3">
      <c r="A70" s="4"/>
      <c r="B70" s="218"/>
      <c r="C70" s="259" t="s">
        <v>93</v>
      </c>
      <c r="D70" s="595"/>
      <c r="E70" s="596"/>
      <c r="F70" s="260"/>
      <c r="G70" s="261"/>
      <c r="H70" s="261"/>
      <c r="I70" s="596"/>
      <c r="J70" s="596"/>
      <c r="K70" s="596"/>
      <c r="L70" s="596"/>
      <c r="M70" s="596"/>
      <c r="N70" s="596"/>
      <c r="O70" s="567"/>
      <c r="P70" s="6"/>
    </row>
    <row r="71" spans="1:16" ht="12" hidden="1" customHeight="1" thickBot="1" x14ac:dyDescent="0.3">
      <c r="A71" s="4"/>
      <c r="B71" s="218"/>
      <c r="C71" s="278"/>
      <c r="D71" s="279"/>
      <c r="E71" s="280"/>
      <c r="F71" s="280"/>
      <c r="G71" s="280"/>
      <c r="H71" s="280"/>
      <c r="I71" s="280"/>
      <c r="J71" s="268"/>
      <c r="K71" s="267" t="s">
        <v>90</v>
      </c>
      <c r="L71" s="268">
        <f>K59</f>
        <v>437.44133727639422</v>
      </c>
      <c r="M71" s="280" t="s">
        <v>91</v>
      </c>
      <c r="N71" s="281"/>
      <c r="O71" s="567"/>
      <c r="P71" s="6"/>
    </row>
    <row r="72" spans="1:16" ht="39.950000000000003" hidden="1" customHeight="1" thickBot="1" x14ac:dyDescent="0.3">
      <c r="A72" s="4"/>
      <c r="B72" s="218"/>
      <c r="C72" s="282"/>
      <c r="D72" s="283"/>
      <c r="E72" s="284"/>
      <c r="F72" s="284"/>
      <c r="G72" s="284"/>
      <c r="H72" s="284"/>
      <c r="I72" s="284"/>
      <c r="J72" s="285"/>
      <c r="K72" s="286" t="s">
        <v>94</v>
      </c>
      <c r="L72" s="287">
        <f>K59*1.15</f>
        <v>503.05753786785334</v>
      </c>
      <c r="M72" s="288" t="s">
        <v>91</v>
      </c>
      <c r="N72" s="527" t="s">
        <v>142</v>
      </c>
      <c r="O72" s="567"/>
      <c r="P72" s="6"/>
    </row>
    <row r="73" spans="1:16" ht="15" hidden="1" customHeight="1" thickTop="1" thickBot="1" x14ac:dyDescent="0.3">
      <c r="A73" s="4"/>
      <c r="B73" s="597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235"/>
      <c r="P73" s="6"/>
    </row>
    <row r="74" spans="1:16" ht="20.100000000000001" hidden="1" customHeight="1" x14ac:dyDescent="0.25">
      <c r="A74" s="4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6"/>
    </row>
    <row r="75" spans="1:16" ht="30" hidden="1" customHeight="1" x14ac:dyDescent="0.25">
      <c r="A75" s="4"/>
      <c r="B75" s="289" t="s">
        <v>95</v>
      </c>
      <c r="C75" s="290"/>
      <c r="D75" s="290"/>
      <c r="E75" s="289"/>
      <c r="F75" s="291"/>
      <c r="G75" s="291"/>
      <c r="H75" s="291"/>
      <c r="I75" s="291"/>
      <c r="J75" s="291"/>
      <c r="K75" s="291"/>
      <c r="L75" s="291"/>
      <c r="M75" s="291"/>
      <c r="N75" s="291"/>
      <c r="O75" s="3"/>
      <c r="P75" s="6"/>
    </row>
    <row r="76" spans="1:16" ht="24.95" hidden="1" customHeight="1" x14ac:dyDescent="0.25">
      <c r="A76" s="4"/>
      <c r="B76" s="292"/>
      <c r="C76" s="293" t="s">
        <v>96</v>
      </c>
      <c r="D76" s="293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5"/>
      <c r="P76" s="6"/>
    </row>
    <row r="77" spans="1:16" ht="20.100000000000001" hidden="1" customHeight="1" thickBot="1" x14ac:dyDescent="0.3">
      <c r="A77" s="4"/>
      <c r="B77" s="296"/>
      <c r="C77" s="297" t="s">
        <v>97</v>
      </c>
      <c r="D77" s="297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9"/>
      <c r="P77" s="6"/>
    </row>
    <row r="78" spans="1:16" ht="18" hidden="1" customHeight="1" thickBot="1" x14ac:dyDescent="0.3">
      <c r="A78" s="4"/>
      <c r="B78" s="300"/>
      <c r="C78" s="301" t="s">
        <v>77</v>
      </c>
      <c r="D78" s="301"/>
      <c r="E78" s="302" t="s">
        <v>0</v>
      </c>
      <c r="F78" s="303"/>
      <c r="G78" s="304" t="s">
        <v>78</v>
      </c>
      <c r="H78" s="304"/>
      <c r="I78" s="304"/>
      <c r="J78" s="304"/>
      <c r="K78" s="305" t="s">
        <v>79</v>
      </c>
      <c r="L78" s="304"/>
      <c r="M78" s="304"/>
      <c r="N78" s="306"/>
      <c r="O78" s="307"/>
      <c r="P78" s="6"/>
    </row>
    <row r="79" spans="1:16" ht="18" hidden="1" customHeight="1" thickBot="1" x14ac:dyDescent="0.3">
      <c r="A79" s="4"/>
      <c r="B79" s="300"/>
      <c r="C79" s="308" t="s">
        <v>98</v>
      </c>
      <c r="D79" s="308"/>
      <c r="E79" s="309"/>
      <c r="F79" s="310"/>
      <c r="G79" s="311" t="s">
        <v>81</v>
      </c>
      <c r="H79" s="312"/>
      <c r="I79" s="311" t="s">
        <v>82</v>
      </c>
      <c r="J79" s="312"/>
      <c r="K79" s="311" t="s">
        <v>81</v>
      </c>
      <c r="L79" s="313"/>
      <c r="M79" s="312" t="s">
        <v>82</v>
      </c>
      <c r="N79" s="313"/>
      <c r="O79" s="307"/>
      <c r="P79" s="6"/>
    </row>
    <row r="80" spans="1:16" ht="18" hidden="1" customHeight="1" x14ac:dyDescent="0.25">
      <c r="A80" s="4"/>
      <c r="B80" s="300"/>
      <c r="C80" s="301"/>
      <c r="D80" s="314"/>
      <c r="E80" s="315"/>
      <c r="F80" s="316">
        <v>0</v>
      </c>
      <c r="G80" s="317">
        <f>F110</f>
        <v>440</v>
      </c>
      <c r="H80" s="318">
        <f t="shared" ref="H80:H95" si="0">G80*60/100</f>
        <v>264</v>
      </c>
      <c r="I80" s="319">
        <f>F118</f>
        <v>520</v>
      </c>
      <c r="J80" s="320">
        <f>I80*70/100</f>
        <v>364</v>
      </c>
      <c r="K80" s="319">
        <f>G80*(640/830)^2</f>
        <v>261.61126433444622</v>
      </c>
      <c r="L80" s="318">
        <f>K80*60/100</f>
        <v>156.96675860066773</v>
      </c>
      <c r="M80" s="321">
        <f>I80*(640/830)^2</f>
        <v>309.176948758891</v>
      </c>
      <c r="N80" s="322">
        <f>M80*70/100</f>
        <v>216.4238641312237</v>
      </c>
      <c r="O80" s="307"/>
      <c r="P80" s="6"/>
    </row>
    <row r="81" spans="1:16" ht="18" hidden="1" customHeight="1" x14ac:dyDescent="0.25">
      <c r="A81" s="4"/>
      <c r="B81" s="300"/>
      <c r="C81" s="323">
        <v>0</v>
      </c>
      <c r="D81" s="324" t="s">
        <v>99</v>
      </c>
      <c r="E81" s="325"/>
      <c r="F81" s="326">
        <v>15</v>
      </c>
      <c r="G81" s="327">
        <f>H110</f>
        <v>470</v>
      </c>
      <c r="H81" s="328">
        <f t="shared" si="0"/>
        <v>282</v>
      </c>
      <c r="I81" s="329">
        <f>H118</f>
        <v>560</v>
      </c>
      <c r="J81" s="330">
        <f t="shared" ref="J81:J95" si="1">I81*70/100</f>
        <v>392</v>
      </c>
      <c r="K81" s="329">
        <f t="shared" ref="K81:K95" si="2">G81*(640/830)^2</f>
        <v>279.44839599361302</v>
      </c>
      <c r="L81" s="328">
        <f>K81*60/100</f>
        <v>167.66903759616781</v>
      </c>
      <c r="M81" s="331">
        <f t="shared" ref="M81:M95" si="3">I81*(640/830)^2</f>
        <v>332.95979097111342</v>
      </c>
      <c r="N81" s="332">
        <f t="shared" ref="N81:N95" si="4">M81*70/100</f>
        <v>233.07185367977937</v>
      </c>
      <c r="O81" s="307"/>
      <c r="P81" s="6"/>
    </row>
    <row r="82" spans="1:16" ht="18" hidden="1" customHeight="1" x14ac:dyDescent="0.25">
      <c r="A82" s="4"/>
      <c r="B82" s="300"/>
      <c r="C82" s="333">
        <f>C81*3.2808</f>
        <v>0</v>
      </c>
      <c r="D82" s="334" t="s">
        <v>1</v>
      </c>
      <c r="E82" s="335"/>
      <c r="F82" s="336">
        <v>30</v>
      </c>
      <c r="G82" s="327">
        <f>J110</f>
        <v>500</v>
      </c>
      <c r="H82" s="328">
        <f t="shared" si="0"/>
        <v>300</v>
      </c>
      <c r="I82" s="329">
        <f>J118</f>
        <v>600</v>
      </c>
      <c r="J82" s="330">
        <f t="shared" si="1"/>
        <v>420</v>
      </c>
      <c r="K82" s="329">
        <f t="shared" si="2"/>
        <v>297.28552765277982</v>
      </c>
      <c r="L82" s="328">
        <f>K82*60/100</f>
        <v>178.37131659166789</v>
      </c>
      <c r="M82" s="331">
        <f t="shared" si="3"/>
        <v>356.74263318333578</v>
      </c>
      <c r="N82" s="332">
        <f t="shared" si="4"/>
        <v>249.71984322833504</v>
      </c>
      <c r="O82" s="307"/>
      <c r="P82" s="6"/>
    </row>
    <row r="83" spans="1:16" ht="18" hidden="1" customHeight="1" thickBot="1" x14ac:dyDescent="0.3">
      <c r="A83" s="4"/>
      <c r="B83" s="300"/>
      <c r="C83" s="337"/>
      <c r="D83" s="338"/>
      <c r="E83" s="339"/>
      <c r="F83" s="340">
        <v>45</v>
      </c>
      <c r="G83" s="341">
        <f>L110</f>
        <v>540</v>
      </c>
      <c r="H83" s="342">
        <f t="shared" si="0"/>
        <v>324</v>
      </c>
      <c r="I83" s="343">
        <f>L118</f>
        <v>660</v>
      </c>
      <c r="J83" s="344">
        <f t="shared" si="1"/>
        <v>462</v>
      </c>
      <c r="K83" s="343">
        <f t="shared" si="2"/>
        <v>321.06836986500218</v>
      </c>
      <c r="L83" s="342">
        <f>K83*60/100</f>
        <v>192.64102191900133</v>
      </c>
      <c r="M83" s="345">
        <f t="shared" si="3"/>
        <v>392.41689650166938</v>
      </c>
      <c r="N83" s="346">
        <f t="shared" si="4"/>
        <v>274.69182755116856</v>
      </c>
      <c r="O83" s="307"/>
      <c r="P83" s="6"/>
    </row>
    <row r="84" spans="1:16" ht="18" hidden="1" customHeight="1" x14ac:dyDescent="0.25">
      <c r="A84" s="4"/>
      <c r="B84" s="300"/>
      <c r="C84" s="347"/>
      <c r="D84" s="348"/>
      <c r="E84" s="315"/>
      <c r="F84" s="316">
        <v>0</v>
      </c>
      <c r="G84" s="317">
        <f>F111</f>
        <v>490</v>
      </c>
      <c r="H84" s="320">
        <f t="shared" si="0"/>
        <v>294</v>
      </c>
      <c r="I84" s="349">
        <f>F119</f>
        <v>600</v>
      </c>
      <c r="J84" s="320">
        <f>I84*70/100</f>
        <v>420</v>
      </c>
      <c r="K84" s="319">
        <f>G84*(640/830)^2</f>
        <v>291.3398170997242</v>
      </c>
      <c r="L84" s="318">
        <f>K84*60/100</f>
        <v>174.8038902598345</v>
      </c>
      <c r="M84" s="321">
        <f>I84*(640/830)^2</f>
        <v>356.74263318333578</v>
      </c>
      <c r="N84" s="322">
        <f>M84*70/100</f>
        <v>249.71984322833504</v>
      </c>
      <c r="O84" s="307"/>
      <c r="P84" s="6"/>
    </row>
    <row r="85" spans="1:16" ht="18" hidden="1" customHeight="1" x14ac:dyDescent="0.25">
      <c r="A85" s="4"/>
      <c r="B85" s="300"/>
      <c r="C85" s="323">
        <v>500</v>
      </c>
      <c r="D85" s="324" t="s">
        <v>99</v>
      </c>
      <c r="E85" s="325"/>
      <c r="F85" s="326">
        <v>15</v>
      </c>
      <c r="G85" s="327">
        <f>H111</f>
        <v>540</v>
      </c>
      <c r="H85" s="330">
        <f t="shared" si="0"/>
        <v>324</v>
      </c>
      <c r="I85" s="350">
        <f>H119</f>
        <v>660</v>
      </c>
      <c r="J85" s="330">
        <f t="shared" si="1"/>
        <v>462</v>
      </c>
      <c r="K85" s="329">
        <f t="shared" si="2"/>
        <v>321.06836986500218</v>
      </c>
      <c r="L85" s="328">
        <f t="shared" ref="L85:L95" si="5">K85*60/100</f>
        <v>192.64102191900133</v>
      </c>
      <c r="M85" s="331">
        <f t="shared" si="3"/>
        <v>392.41689650166938</v>
      </c>
      <c r="N85" s="332">
        <f t="shared" si="4"/>
        <v>274.69182755116856</v>
      </c>
      <c r="O85" s="307"/>
      <c r="P85" s="6"/>
    </row>
    <row r="86" spans="1:16" ht="18" hidden="1" customHeight="1" x14ac:dyDescent="0.25">
      <c r="A86" s="4"/>
      <c r="B86" s="300"/>
      <c r="C86" s="333">
        <f>C85*3.2808</f>
        <v>1640.4</v>
      </c>
      <c r="D86" s="334" t="s">
        <v>1</v>
      </c>
      <c r="E86" s="335"/>
      <c r="F86" s="336">
        <v>30</v>
      </c>
      <c r="G86" s="327">
        <f>J111</f>
        <v>580</v>
      </c>
      <c r="H86" s="330">
        <f t="shared" si="0"/>
        <v>348</v>
      </c>
      <c r="I86" s="350">
        <f>J119</f>
        <v>730</v>
      </c>
      <c r="J86" s="330">
        <f t="shared" si="1"/>
        <v>511</v>
      </c>
      <c r="K86" s="329">
        <f t="shared" si="2"/>
        <v>344.8512120772246</v>
      </c>
      <c r="L86" s="328">
        <f t="shared" si="5"/>
        <v>206.91072724633474</v>
      </c>
      <c r="M86" s="331">
        <f t="shared" si="3"/>
        <v>434.03687037305855</v>
      </c>
      <c r="N86" s="332">
        <f t="shared" si="4"/>
        <v>303.82580926114099</v>
      </c>
      <c r="O86" s="307"/>
      <c r="P86" s="6"/>
    </row>
    <row r="87" spans="1:16" ht="18" hidden="1" customHeight="1" thickBot="1" x14ac:dyDescent="0.3">
      <c r="A87" s="4"/>
      <c r="B87" s="300"/>
      <c r="C87" s="337"/>
      <c r="D87" s="338"/>
      <c r="E87" s="339"/>
      <c r="F87" s="340">
        <v>45</v>
      </c>
      <c r="G87" s="341">
        <f>L111</f>
        <v>630</v>
      </c>
      <c r="H87" s="344">
        <f t="shared" si="0"/>
        <v>378</v>
      </c>
      <c r="I87" s="351">
        <f>L119</f>
        <v>800</v>
      </c>
      <c r="J87" s="344">
        <f t="shared" si="1"/>
        <v>560</v>
      </c>
      <c r="K87" s="343">
        <f t="shared" si="2"/>
        <v>374.57976484250258</v>
      </c>
      <c r="L87" s="342">
        <f t="shared" si="5"/>
        <v>224.74785890550157</v>
      </c>
      <c r="M87" s="345">
        <f t="shared" si="3"/>
        <v>475.65684424444771</v>
      </c>
      <c r="N87" s="346">
        <f t="shared" si="4"/>
        <v>332.95979097111342</v>
      </c>
      <c r="O87" s="307"/>
      <c r="P87" s="6"/>
    </row>
    <row r="88" spans="1:16" ht="18" hidden="1" customHeight="1" x14ac:dyDescent="0.25">
      <c r="A88" s="4"/>
      <c r="B88" s="300"/>
      <c r="C88" s="347"/>
      <c r="D88" s="348"/>
      <c r="E88" s="315"/>
      <c r="F88" s="316">
        <v>0</v>
      </c>
      <c r="G88" s="317">
        <f>F112</f>
        <v>580</v>
      </c>
      <c r="H88" s="320">
        <f t="shared" si="0"/>
        <v>348</v>
      </c>
      <c r="I88" s="349">
        <f>F120</f>
        <v>720</v>
      </c>
      <c r="J88" s="320">
        <f>I88*70/100</f>
        <v>504</v>
      </c>
      <c r="K88" s="319">
        <f>G88*(640/830)^2</f>
        <v>344.8512120772246</v>
      </c>
      <c r="L88" s="318">
        <f t="shared" si="5"/>
        <v>206.91072724633474</v>
      </c>
      <c r="M88" s="321">
        <f>I88*(640/830)^2</f>
        <v>428.09115982000293</v>
      </c>
      <c r="N88" s="322">
        <f>M88*70/100</f>
        <v>299.66381187400208</v>
      </c>
      <c r="O88" s="307"/>
      <c r="P88" s="6"/>
    </row>
    <row r="89" spans="1:16" ht="18" hidden="1" customHeight="1" x14ac:dyDescent="0.25">
      <c r="A89" s="4"/>
      <c r="B89" s="300"/>
      <c r="C89" s="323">
        <v>1000</v>
      </c>
      <c r="D89" s="324" t="s">
        <v>99</v>
      </c>
      <c r="E89" s="325"/>
      <c r="F89" s="326">
        <v>15</v>
      </c>
      <c r="G89" s="327">
        <f>H112</f>
        <v>640</v>
      </c>
      <c r="H89" s="330">
        <f t="shared" si="0"/>
        <v>384</v>
      </c>
      <c r="I89" s="350">
        <f>H120</f>
        <v>800</v>
      </c>
      <c r="J89" s="330">
        <f t="shared" si="1"/>
        <v>560</v>
      </c>
      <c r="K89" s="329">
        <f t="shared" si="2"/>
        <v>380.52547539555815</v>
      </c>
      <c r="L89" s="328">
        <f t="shared" si="5"/>
        <v>228.3152852373349</v>
      </c>
      <c r="M89" s="331">
        <f t="shared" si="3"/>
        <v>475.65684424444771</v>
      </c>
      <c r="N89" s="332">
        <f t="shared" si="4"/>
        <v>332.95979097111342</v>
      </c>
      <c r="O89" s="307"/>
      <c r="P89" s="6"/>
    </row>
    <row r="90" spans="1:16" ht="18" hidden="1" customHeight="1" x14ac:dyDescent="0.25">
      <c r="A90" s="4"/>
      <c r="B90" s="300"/>
      <c r="C90" s="333">
        <f>C89*3.2808</f>
        <v>3280.8</v>
      </c>
      <c r="D90" s="334" t="s">
        <v>1</v>
      </c>
      <c r="E90" s="325"/>
      <c r="F90" s="326">
        <v>15</v>
      </c>
      <c r="G90" s="327">
        <f>J112</f>
        <v>700</v>
      </c>
      <c r="H90" s="330">
        <f t="shared" si="0"/>
        <v>420</v>
      </c>
      <c r="I90" s="350">
        <f>J120</f>
        <v>870</v>
      </c>
      <c r="J90" s="330">
        <f t="shared" si="1"/>
        <v>609</v>
      </c>
      <c r="K90" s="329">
        <f t="shared" si="2"/>
        <v>416.19973871389175</v>
      </c>
      <c r="L90" s="328">
        <f t="shared" si="5"/>
        <v>249.71984322833504</v>
      </c>
      <c r="M90" s="331">
        <f t="shared" si="3"/>
        <v>517.27681811583693</v>
      </c>
      <c r="N90" s="332">
        <f t="shared" si="4"/>
        <v>362.09377268108585</v>
      </c>
      <c r="O90" s="307"/>
      <c r="P90" s="6"/>
    </row>
    <row r="91" spans="1:16" ht="18" hidden="1" customHeight="1" thickBot="1" x14ac:dyDescent="0.3">
      <c r="A91" s="4"/>
      <c r="B91" s="300"/>
      <c r="C91" s="337"/>
      <c r="D91" s="338"/>
      <c r="E91" s="339"/>
      <c r="F91" s="340">
        <v>45</v>
      </c>
      <c r="G91" s="341">
        <f>L112</f>
        <v>750</v>
      </c>
      <c r="H91" s="344">
        <f t="shared" si="0"/>
        <v>450</v>
      </c>
      <c r="I91" s="351">
        <f>L120</f>
        <v>960</v>
      </c>
      <c r="J91" s="344">
        <f t="shared" si="1"/>
        <v>672</v>
      </c>
      <c r="K91" s="343">
        <f t="shared" si="2"/>
        <v>445.92829147916973</v>
      </c>
      <c r="L91" s="342">
        <f t="shared" si="5"/>
        <v>267.55697488750184</v>
      </c>
      <c r="M91" s="345">
        <f t="shared" si="3"/>
        <v>570.78821309333728</v>
      </c>
      <c r="N91" s="346">
        <f t="shared" si="4"/>
        <v>399.5517491653361</v>
      </c>
      <c r="O91" s="307"/>
      <c r="P91" s="6"/>
    </row>
    <row r="92" spans="1:16" ht="18" hidden="1" customHeight="1" x14ac:dyDescent="0.25">
      <c r="A92" s="4"/>
      <c r="B92" s="300"/>
      <c r="C92" s="347"/>
      <c r="D92" s="348"/>
      <c r="E92" s="315"/>
      <c r="F92" s="316">
        <v>0</v>
      </c>
      <c r="G92" s="317">
        <f>F113</f>
        <v>680</v>
      </c>
      <c r="H92" s="320">
        <f t="shared" si="0"/>
        <v>408</v>
      </c>
      <c r="I92" s="349">
        <f>F121</f>
        <v>880</v>
      </c>
      <c r="J92" s="320">
        <f>I92*70/100</f>
        <v>616</v>
      </c>
      <c r="K92" s="319">
        <f>G92*(640/830)^2</f>
        <v>404.30831760778057</v>
      </c>
      <c r="L92" s="318">
        <f t="shared" si="5"/>
        <v>242.58499056466835</v>
      </c>
      <c r="M92" s="321">
        <f>I92*(640/830)^2</f>
        <v>523.22252866889244</v>
      </c>
      <c r="N92" s="322">
        <f>M92*70/100</f>
        <v>366.25577006822476</v>
      </c>
      <c r="O92" s="307"/>
      <c r="P92" s="6"/>
    </row>
    <row r="93" spans="1:16" ht="18" hidden="1" customHeight="1" x14ac:dyDescent="0.25">
      <c r="A93" s="4"/>
      <c r="B93" s="300"/>
      <c r="C93" s="323">
        <v>1500</v>
      </c>
      <c r="D93" s="324" t="s">
        <v>99</v>
      </c>
      <c r="E93" s="325"/>
      <c r="F93" s="326">
        <v>15</v>
      </c>
      <c r="G93" s="327">
        <f>H113</f>
        <v>740</v>
      </c>
      <c r="H93" s="330">
        <f t="shared" si="0"/>
        <v>444</v>
      </c>
      <c r="I93" s="350">
        <f>H121</f>
        <v>950</v>
      </c>
      <c r="J93" s="330">
        <f t="shared" si="1"/>
        <v>665</v>
      </c>
      <c r="K93" s="329">
        <f t="shared" si="2"/>
        <v>439.98258092611417</v>
      </c>
      <c r="L93" s="328">
        <f t="shared" si="5"/>
        <v>263.98954855566853</v>
      </c>
      <c r="M93" s="331">
        <f t="shared" si="3"/>
        <v>564.84250254028166</v>
      </c>
      <c r="N93" s="332">
        <f t="shared" si="4"/>
        <v>395.38975177819719</v>
      </c>
      <c r="O93" s="307"/>
      <c r="P93" s="6"/>
    </row>
    <row r="94" spans="1:16" ht="18" hidden="1" customHeight="1" x14ac:dyDescent="0.25">
      <c r="A94" s="4"/>
      <c r="B94" s="300"/>
      <c r="C94" s="333">
        <f>C93*3.2808+0.5</f>
        <v>4921.7</v>
      </c>
      <c r="D94" s="334" t="s">
        <v>1</v>
      </c>
      <c r="E94" s="325"/>
      <c r="F94" s="326">
        <v>15</v>
      </c>
      <c r="G94" s="327">
        <f>J113</f>
        <v>800</v>
      </c>
      <c r="H94" s="330">
        <f t="shared" si="0"/>
        <v>480</v>
      </c>
      <c r="I94" s="350">
        <f>J121</f>
        <v>1020</v>
      </c>
      <c r="J94" s="330">
        <f t="shared" si="1"/>
        <v>714</v>
      </c>
      <c r="K94" s="329">
        <f t="shared" si="2"/>
        <v>475.65684424444771</v>
      </c>
      <c r="L94" s="328">
        <f t="shared" si="5"/>
        <v>285.39410654666864</v>
      </c>
      <c r="M94" s="331">
        <f t="shared" si="3"/>
        <v>606.46247641167088</v>
      </c>
      <c r="N94" s="332">
        <f t="shared" si="4"/>
        <v>424.52373348816963</v>
      </c>
      <c r="O94" s="307"/>
      <c r="P94" s="6"/>
    </row>
    <row r="95" spans="1:16" ht="18" hidden="1" customHeight="1" thickBot="1" x14ac:dyDescent="0.3">
      <c r="A95" s="4"/>
      <c r="B95" s="300"/>
      <c r="C95" s="352"/>
      <c r="D95" s="338"/>
      <c r="E95" s="339"/>
      <c r="F95" s="340">
        <v>45</v>
      </c>
      <c r="G95" s="341">
        <f>L113</f>
        <v>880</v>
      </c>
      <c r="H95" s="344">
        <f t="shared" si="0"/>
        <v>528</v>
      </c>
      <c r="I95" s="351">
        <f>L121</f>
        <v>1160</v>
      </c>
      <c r="J95" s="344">
        <f t="shared" si="1"/>
        <v>812</v>
      </c>
      <c r="K95" s="343">
        <f t="shared" si="2"/>
        <v>523.22252866889244</v>
      </c>
      <c r="L95" s="342">
        <f t="shared" si="5"/>
        <v>313.93351720133546</v>
      </c>
      <c r="M95" s="345">
        <f t="shared" si="3"/>
        <v>689.7024241544492</v>
      </c>
      <c r="N95" s="346">
        <f t="shared" si="4"/>
        <v>482.79169690811449</v>
      </c>
      <c r="O95" s="307"/>
      <c r="P95" s="6"/>
    </row>
    <row r="96" spans="1:16" ht="17.100000000000001" hidden="1" customHeight="1" x14ac:dyDescent="0.25">
      <c r="A96" s="4"/>
      <c r="B96" s="300"/>
      <c r="C96" s="353" t="s">
        <v>100</v>
      </c>
      <c r="D96" s="353"/>
      <c r="E96" s="353"/>
      <c r="F96" s="354"/>
      <c r="G96" s="355"/>
      <c r="H96" s="356"/>
      <c r="I96" s="355"/>
      <c r="J96" s="356"/>
      <c r="K96" s="355"/>
      <c r="L96" s="356"/>
      <c r="M96" s="355"/>
      <c r="N96" s="356"/>
      <c r="O96" s="307"/>
      <c r="P96" s="6"/>
    </row>
    <row r="97" spans="1:19" ht="12.95" hidden="1" customHeight="1" x14ac:dyDescent="0.25">
      <c r="A97" s="4"/>
      <c r="B97" s="300"/>
      <c r="C97" s="357" t="s">
        <v>101</v>
      </c>
      <c r="D97" s="357"/>
      <c r="E97" s="357"/>
      <c r="F97" s="354"/>
      <c r="G97" s="355"/>
      <c r="H97" s="356"/>
      <c r="I97" s="355"/>
      <c r="J97" s="356"/>
      <c r="K97" s="355"/>
      <c r="L97" s="356"/>
      <c r="M97" s="355"/>
      <c r="N97" s="356"/>
      <c r="O97" s="307"/>
      <c r="P97" s="6"/>
    </row>
    <row r="98" spans="1:19" ht="12.95" hidden="1" customHeight="1" x14ac:dyDescent="0.25">
      <c r="A98" s="4"/>
      <c r="B98" s="300"/>
      <c r="C98" s="358" t="s">
        <v>102</v>
      </c>
      <c r="D98" s="358"/>
      <c r="E98" s="358"/>
      <c r="F98" s="359"/>
      <c r="G98" s="360">
        <v>10</v>
      </c>
      <c r="H98" s="361" t="s">
        <v>103</v>
      </c>
      <c r="I98" s="362"/>
      <c r="J98" s="363">
        <v>0.85</v>
      </c>
      <c r="K98" s="364" t="s">
        <v>104</v>
      </c>
      <c r="L98" s="365"/>
      <c r="M98" s="364"/>
      <c r="N98" s="365"/>
      <c r="O98" s="307"/>
      <c r="P98" s="6"/>
    </row>
    <row r="99" spans="1:19" ht="12.95" hidden="1" customHeight="1" x14ac:dyDescent="0.25">
      <c r="A99" s="4"/>
      <c r="B99" s="300"/>
      <c r="C99" s="358" t="s">
        <v>105</v>
      </c>
      <c r="D99" s="358"/>
      <c r="E99" s="358"/>
      <c r="F99" s="359"/>
      <c r="G99" s="360">
        <v>20</v>
      </c>
      <c r="H99" s="361" t="s">
        <v>103</v>
      </c>
      <c r="I99" s="362"/>
      <c r="J99" s="363">
        <v>0.67</v>
      </c>
      <c r="K99" s="364" t="s">
        <v>106</v>
      </c>
      <c r="L99" s="365"/>
      <c r="M99" s="364"/>
      <c r="N99" s="365"/>
      <c r="O99" s="307"/>
      <c r="P99" s="6"/>
    </row>
    <row r="100" spans="1:19" ht="20.100000000000001" hidden="1" customHeight="1" x14ac:dyDescent="0.25">
      <c r="A100" s="4"/>
      <c r="B100" s="366"/>
      <c r="C100" s="367" t="s">
        <v>105</v>
      </c>
      <c r="D100" s="367"/>
      <c r="E100" s="367"/>
      <c r="F100" s="368"/>
      <c r="G100" s="369">
        <v>30</v>
      </c>
      <c r="H100" s="370" t="s">
        <v>103</v>
      </c>
      <c r="I100" s="371"/>
      <c r="J100" s="372">
        <v>0.56000000000000005</v>
      </c>
      <c r="K100" s="373" t="s">
        <v>107</v>
      </c>
      <c r="L100" s="374"/>
      <c r="M100" s="373"/>
      <c r="N100" s="374"/>
      <c r="O100" s="375"/>
      <c r="P100" s="6"/>
    </row>
    <row r="101" spans="1:19" ht="15" hidden="1" customHeight="1" x14ac:dyDescent="0.25">
      <c r="A101" s="4"/>
      <c r="B101" s="4"/>
      <c r="C101" s="376"/>
      <c r="D101" s="376"/>
      <c r="E101" s="377"/>
      <c r="F101" s="378"/>
      <c r="G101" s="379"/>
      <c r="H101" s="380"/>
      <c r="I101" s="379"/>
      <c r="J101" s="380"/>
      <c r="K101" s="379"/>
      <c r="L101" s="380"/>
      <c r="M101" s="379"/>
      <c r="N101" s="380"/>
      <c r="O101" s="4"/>
      <c r="P101" s="6"/>
    </row>
    <row r="102" spans="1:19" ht="30" hidden="1" customHeight="1" x14ac:dyDescent="0.25">
      <c r="A102" s="550"/>
      <c r="B102" s="289" t="s">
        <v>108</v>
      </c>
      <c r="C102" s="290"/>
      <c r="D102" s="290"/>
      <c r="E102" s="289"/>
      <c r="F102" s="291"/>
      <c r="G102" s="291"/>
      <c r="H102" s="291"/>
      <c r="I102" s="291"/>
      <c r="J102" s="291"/>
      <c r="K102" s="291"/>
      <c r="L102" s="291"/>
      <c r="M102" s="291"/>
      <c r="N102" s="291"/>
      <c r="O102" s="3"/>
      <c r="P102" s="6"/>
    </row>
    <row r="103" spans="1:19" ht="24.95" hidden="1" customHeight="1" x14ac:dyDescent="0.25">
      <c r="A103" s="4"/>
      <c r="B103" s="381"/>
      <c r="C103" s="382" t="s">
        <v>96</v>
      </c>
      <c r="D103" s="382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4"/>
      <c r="P103" s="6"/>
    </row>
    <row r="104" spans="1:19" ht="30" hidden="1" customHeight="1" thickBot="1" x14ac:dyDescent="0.3">
      <c r="A104" s="4"/>
      <c r="B104" s="385"/>
      <c r="C104" s="386" t="s">
        <v>109</v>
      </c>
      <c r="D104" s="387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9"/>
      <c r="P104" s="6"/>
    </row>
    <row r="105" spans="1:19" ht="39.950000000000003" hidden="1" customHeight="1" thickBot="1" x14ac:dyDescent="0.3">
      <c r="A105" s="4"/>
      <c r="B105" s="390"/>
      <c r="C105" s="362"/>
      <c r="D105" s="711" t="s">
        <v>110</v>
      </c>
      <c r="E105" s="712"/>
      <c r="F105" s="391" t="s">
        <v>111</v>
      </c>
      <c r="G105" s="392"/>
      <c r="H105" s="393" t="s">
        <v>112</v>
      </c>
      <c r="I105" s="394"/>
      <c r="J105" s="392" t="s">
        <v>113</v>
      </c>
      <c r="K105" s="392"/>
      <c r="L105" s="393" t="s">
        <v>114</v>
      </c>
      <c r="M105" s="395"/>
      <c r="N105" s="396"/>
      <c r="O105" s="397"/>
      <c r="P105" s="6"/>
    </row>
    <row r="106" spans="1:19" ht="15" hidden="1" customHeight="1" x14ac:dyDescent="0.25">
      <c r="A106" s="4"/>
      <c r="B106" s="398"/>
      <c r="C106" s="399"/>
      <c r="D106" s="399"/>
      <c r="E106" s="400"/>
      <c r="F106" s="400"/>
      <c r="G106" s="401"/>
      <c r="H106" s="401"/>
      <c r="I106" s="402"/>
      <c r="J106" s="402"/>
      <c r="K106" s="401"/>
      <c r="L106" s="401"/>
      <c r="M106" s="401"/>
      <c r="N106" s="401"/>
      <c r="O106" s="403"/>
      <c r="P106" s="6"/>
    </row>
    <row r="107" spans="1:19" ht="15" hidden="1" customHeight="1" x14ac:dyDescent="0.25">
      <c r="A107" s="4"/>
      <c r="B107" s="398"/>
      <c r="C107" s="399"/>
      <c r="D107" s="404" t="s">
        <v>115</v>
      </c>
      <c r="E107" s="404"/>
      <c r="F107" s="405"/>
      <c r="G107" s="404"/>
      <c r="H107" s="404"/>
      <c r="I107" s="405"/>
      <c r="J107" s="405"/>
      <c r="K107" s="404"/>
      <c r="L107" s="404"/>
      <c r="M107" s="406"/>
      <c r="N107" s="407"/>
      <c r="O107" s="408"/>
      <c r="P107" s="6"/>
    </row>
    <row r="108" spans="1:19" ht="15" hidden="1" customHeight="1" x14ac:dyDescent="0.25">
      <c r="A108" s="4"/>
      <c r="B108" s="398"/>
      <c r="C108" s="409"/>
      <c r="D108" s="410" t="s">
        <v>116</v>
      </c>
      <c r="E108" s="400"/>
      <c r="F108" s="400"/>
      <c r="G108" s="404"/>
      <c r="H108" s="411"/>
      <c r="I108" s="400"/>
      <c r="J108" s="410"/>
      <c r="K108" s="404"/>
      <c r="L108" s="411"/>
      <c r="M108" s="404"/>
      <c r="N108" s="412"/>
      <c r="O108" s="408"/>
      <c r="P108" s="6"/>
    </row>
    <row r="109" spans="1:19" ht="5.0999999999999996" hidden="1" customHeight="1" thickBot="1" x14ac:dyDescent="0.3">
      <c r="A109" s="4"/>
      <c r="B109" s="398"/>
      <c r="C109" s="409"/>
      <c r="D109" s="409"/>
      <c r="E109" s="413"/>
      <c r="F109" s="413"/>
      <c r="G109" s="414"/>
      <c r="H109" s="415"/>
      <c r="I109" s="400"/>
      <c r="J109" s="410"/>
      <c r="K109" s="414"/>
      <c r="L109" s="415"/>
      <c r="M109" s="414"/>
      <c r="N109" s="412"/>
      <c r="O109" s="403"/>
      <c r="P109" s="6"/>
    </row>
    <row r="110" spans="1:19" ht="18" hidden="1" customHeight="1" x14ac:dyDescent="0.25">
      <c r="A110" s="4"/>
      <c r="B110" s="398"/>
      <c r="C110" s="416"/>
      <c r="D110" s="417">
        <v>0</v>
      </c>
      <c r="E110" s="418">
        <f>D110*3.2808</f>
        <v>0</v>
      </c>
      <c r="F110" s="419">
        <v>440</v>
      </c>
      <c r="G110" s="420"/>
      <c r="H110" s="421">
        <v>470</v>
      </c>
      <c r="I110" s="420"/>
      <c r="J110" s="421">
        <v>500</v>
      </c>
      <c r="K110" s="422"/>
      <c r="L110" s="420">
        <v>540</v>
      </c>
      <c r="M110" s="423"/>
      <c r="N110" s="424"/>
      <c r="O110" s="403"/>
      <c r="P110" s="6"/>
    </row>
    <row r="111" spans="1:19" ht="18" hidden="1" customHeight="1" x14ac:dyDescent="0.25">
      <c r="A111" s="4"/>
      <c r="B111" s="398"/>
      <c r="C111" s="416"/>
      <c r="D111" s="425">
        <v>500</v>
      </c>
      <c r="E111" s="426">
        <f>D111*3.2808</f>
        <v>1640.4</v>
      </c>
      <c r="F111" s="427">
        <v>490</v>
      </c>
      <c r="G111" s="404"/>
      <c r="H111" s="428">
        <v>540</v>
      </c>
      <c r="I111" s="404"/>
      <c r="J111" s="428">
        <v>580</v>
      </c>
      <c r="K111" s="429"/>
      <c r="L111" s="404">
        <v>630</v>
      </c>
      <c r="M111" s="430"/>
      <c r="N111" s="424"/>
      <c r="O111" s="403"/>
      <c r="P111" s="6"/>
      <c r="S111" s="431"/>
    </row>
    <row r="112" spans="1:19" ht="18" hidden="1" customHeight="1" x14ac:dyDescent="0.25">
      <c r="A112" s="4"/>
      <c r="B112" s="398"/>
      <c r="C112" s="416"/>
      <c r="D112" s="425">
        <v>1000</v>
      </c>
      <c r="E112" s="426">
        <f>D112*3.2808</f>
        <v>3280.8</v>
      </c>
      <c r="F112" s="427">
        <v>580</v>
      </c>
      <c r="G112" s="404"/>
      <c r="H112" s="428">
        <v>640</v>
      </c>
      <c r="I112" s="404"/>
      <c r="J112" s="428">
        <v>700</v>
      </c>
      <c r="K112" s="429"/>
      <c r="L112" s="404">
        <v>750</v>
      </c>
      <c r="M112" s="430"/>
      <c r="N112" s="424"/>
      <c r="O112" s="403"/>
      <c r="P112" s="6"/>
    </row>
    <row r="113" spans="1:19" ht="18" hidden="1" customHeight="1" thickBot="1" x14ac:dyDescent="0.3">
      <c r="A113" s="4"/>
      <c r="B113" s="398"/>
      <c r="C113" s="416"/>
      <c r="D113" s="432">
        <v>1500</v>
      </c>
      <c r="E113" s="433">
        <f>D113*3.2808+0.5</f>
        <v>4921.7</v>
      </c>
      <c r="F113" s="434">
        <v>680</v>
      </c>
      <c r="G113" s="435"/>
      <c r="H113" s="436">
        <v>740</v>
      </c>
      <c r="I113" s="435"/>
      <c r="J113" s="436">
        <v>800</v>
      </c>
      <c r="K113" s="437"/>
      <c r="L113" s="435">
        <v>880</v>
      </c>
      <c r="M113" s="438"/>
      <c r="N113" s="424"/>
      <c r="O113" s="403"/>
      <c r="P113" s="6"/>
    </row>
    <row r="114" spans="1:19" ht="15" hidden="1" customHeight="1" x14ac:dyDescent="0.25">
      <c r="A114" s="4"/>
      <c r="B114" s="398"/>
      <c r="C114" s="416"/>
      <c r="D114" s="399"/>
      <c r="E114" s="400"/>
      <c r="F114" s="400"/>
      <c r="G114" s="401"/>
      <c r="H114" s="401"/>
      <c r="I114" s="402"/>
      <c r="J114" s="402"/>
      <c r="K114" s="401"/>
      <c r="L114" s="401"/>
      <c r="M114" s="401"/>
      <c r="N114" s="424"/>
      <c r="O114" s="403"/>
      <c r="P114" s="6"/>
      <c r="S114" s="431"/>
    </row>
    <row r="115" spans="1:19" ht="15" hidden="1" customHeight="1" x14ac:dyDescent="0.25">
      <c r="A115" s="4"/>
      <c r="B115" s="398"/>
      <c r="C115" s="399"/>
      <c r="D115" s="404" t="s">
        <v>117</v>
      </c>
      <c r="E115" s="404"/>
      <c r="F115" s="405"/>
      <c r="G115" s="404"/>
      <c r="H115" s="404"/>
      <c r="I115" s="405"/>
      <c r="J115" s="405"/>
      <c r="K115" s="404"/>
      <c r="L115" s="404"/>
      <c r="M115" s="406"/>
      <c r="N115" s="407"/>
      <c r="O115" s="408"/>
      <c r="P115" s="6"/>
    </row>
    <row r="116" spans="1:19" ht="15" hidden="1" customHeight="1" x14ac:dyDescent="0.25">
      <c r="A116" s="4"/>
      <c r="B116" s="398"/>
      <c r="C116" s="409"/>
      <c r="D116" s="410" t="s">
        <v>118</v>
      </c>
      <c r="E116" s="400"/>
      <c r="F116" s="400"/>
      <c r="G116" s="404"/>
      <c r="H116" s="411"/>
      <c r="I116" s="400"/>
      <c r="J116" s="410"/>
      <c r="K116" s="404"/>
      <c r="L116" s="411"/>
      <c r="M116" s="404"/>
      <c r="N116" s="412"/>
      <c r="O116" s="408"/>
      <c r="P116" s="6"/>
    </row>
    <row r="117" spans="1:19" ht="5.0999999999999996" hidden="1" customHeight="1" thickBot="1" x14ac:dyDescent="0.3">
      <c r="A117" s="4"/>
      <c r="B117" s="398"/>
      <c r="C117" s="416"/>
      <c r="D117" s="409"/>
      <c r="E117" s="413"/>
      <c r="F117" s="413"/>
      <c r="G117" s="439"/>
      <c r="H117" s="412"/>
      <c r="I117" s="402"/>
      <c r="J117" s="440"/>
      <c r="K117" s="439"/>
      <c r="L117" s="412"/>
      <c r="M117" s="439"/>
      <c r="N117" s="424"/>
      <c r="O117" s="403"/>
      <c r="P117" s="6"/>
    </row>
    <row r="118" spans="1:19" ht="18" hidden="1" customHeight="1" x14ac:dyDescent="0.25">
      <c r="A118" s="4"/>
      <c r="B118" s="398"/>
      <c r="C118" s="416"/>
      <c r="D118" s="417">
        <v>0</v>
      </c>
      <c r="E118" s="418">
        <f>D118*3.2808</f>
        <v>0</v>
      </c>
      <c r="F118" s="419">
        <v>520</v>
      </c>
      <c r="G118" s="420"/>
      <c r="H118" s="421">
        <v>560</v>
      </c>
      <c r="I118" s="420"/>
      <c r="J118" s="421">
        <v>600</v>
      </c>
      <c r="K118" s="422"/>
      <c r="L118" s="420">
        <v>660</v>
      </c>
      <c r="M118" s="423"/>
      <c r="N118" s="424"/>
      <c r="O118" s="403"/>
      <c r="P118" s="6"/>
    </row>
    <row r="119" spans="1:19" ht="18" hidden="1" customHeight="1" x14ac:dyDescent="0.25">
      <c r="A119" s="4"/>
      <c r="B119" s="398"/>
      <c r="C119" s="416"/>
      <c r="D119" s="425">
        <v>500</v>
      </c>
      <c r="E119" s="426">
        <f>D119*3.2808</f>
        <v>1640.4</v>
      </c>
      <c r="F119" s="427">
        <v>600</v>
      </c>
      <c r="G119" s="404"/>
      <c r="H119" s="428">
        <v>660</v>
      </c>
      <c r="I119" s="404"/>
      <c r="J119" s="428">
        <v>730</v>
      </c>
      <c r="K119" s="429"/>
      <c r="L119" s="404">
        <v>800</v>
      </c>
      <c r="M119" s="430"/>
      <c r="N119" s="424"/>
      <c r="O119" s="403"/>
      <c r="P119" s="6"/>
    </row>
    <row r="120" spans="1:19" ht="18" hidden="1" customHeight="1" x14ac:dyDescent="0.25">
      <c r="A120" s="4"/>
      <c r="B120" s="398"/>
      <c r="C120" s="416"/>
      <c r="D120" s="425">
        <v>1000</v>
      </c>
      <c r="E120" s="426">
        <f>D120*3.2808</f>
        <v>3280.8</v>
      </c>
      <c r="F120" s="427">
        <v>720</v>
      </c>
      <c r="G120" s="404"/>
      <c r="H120" s="428">
        <v>800</v>
      </c>
      <c r="I120" s="404"/>
      <c r="J120" s="428">
        <v>870</v>
      </c>
      <c r="K120" s="429"/>
      <c r="L120" s="404">
        <v>960</v>
      </c>
      <c r="M120" s="430"/>
      <c r="N120" s="424"/>
      <c r="O120" s="403"/>
      <c r="P120" s="6"/>
    </row>
    <row r="121" spans="1:19" ht="18" hidden="1" customHeight="1" thickBot="1" x14ac:dyDescent="0.3">
      <c r="A121" s="4"/>
      <c r="B121" s="398"/>
      <c r="C121" s="416"/>
      <c r="D121" s="432">
        <v>1500</v>
      </c>
      <c r="E121" s="433">
        <f>D121*3.2808+0.5</f>
        <v>4921.7</v>
      </c>
      <c r="F121" s="434">
        <v>880</v>
      </c>
      <c r="G121" s="435"/>
      <c r="H121" s="436">
        <v>950</v>
      </c>
      <c r="I121" s="435"/>
      <c r="J121" s="436">
        <v>1020</v>
      </c>
      <c r="K121" s="437"/>
      <c r="L121" s="435">
        <v>1160</v>
      </c>
      <c r="M121" s="438"/>
      <c r="N121" s="424"/>
      <c r="O121" s="403"/>
      <c r="P121" s="6"/>
      <c r="S121" s="431"/>
    </row>
    <row r="122" spans="1:19" ht="15" hidden="1" customHeight="1" x14ac:dyDescent="0.25">
      <c r="A122" s="4"/>
      <c r="B122" s="441"/>
      <c r="C122" s="442"/>
      <c r="D122" s="442"/>
      <c r="E122" s="443"/>
      <c r="F122" s="444"/>
      <c r="G122" s="445"/>
      <c r="H122" s="446"/>
      <c r="I122" s="445"/>
      <c r="J122" s="446"/>
      <c r="K122" s="445"/>
      <c r="L122" s="446"/>
      <c r="M122" s="447"/>
      <c r="N122" s="424"/>
      <c r="O122" s="408"/>
      <c r="P122" s="6"/>
    </row>
    <row r="123" spans="1:19" ht="24.95" hidden="1" customHeight="1" x14ac:dyDescent="0.25">
      <c r="A123" s="4"/>
      <c r="B123" s="448"/>
      <c r="C123" s="358"/>
      <c r="D123" s="447" t="s">
        <v>119</v>
      </c>
      <c r="E123" s="447"/>
      <c r="F123" s="449"/>
      <c r="G123" s="450"/>
      <c r="H123" s="451"/>
      <c r="I123" s="447"/>
      <c r="J123" s="447"/>
      <c r="K123" s="447"/>
      <c r="L123" s="451"/>
      <c r="M123" s="447"/>
      <c r="N123" s="452"/>
      <c r="O123" s="397"/>
      <c r="P123" s="6"/>
    </row>
    <row r="124" spans="1:19" ht="9.9499999999999993" hidden="1" customHeight="1" x14ac:dyDescent="0.25">
      <c r="A124" s="4"/>
      <c r="B124" s="453"/>
      <c r="C124" s="367"/>
      <c r="D124" s="367"/>
      <c r="E124" s="367"/>
      <c r="F124" s="454"/>
      <c r="G124" s="455"/>
      <c r="H124" s="456"/>
      <c r="I124" s="367"/>
      <c r="J124" s="367"/>
      <c r="K124" s="367"/>
      <c r="L124" s="456"/>
      <c r="M124" s="367"/>
      <c r="N124" s="456"/>
      <c r="O124" s="457"/>
      <c r="P124" s="6"/>
    </row>
    <row r="125" spans="1:19" hidden="1" x14ac:dyDescent="0.25">
      <c r="A125" s="4"/>
      <c r="B125" s="4"/>
      <c r="C125" s="376"/>
      <c r="D125" s="376"/>
      <c r="E125" s="377"/>
      <c r="F125" s="378"/>
      <c r="G125" s="379"/>
      <c r="H125" s="380"/>
      <c r="I125" s="379"/>
      <c r="J125" s="380"/>
      <c r="K125" s="379"/>
      <c r="L125" s="380"/>
      <c r="M125" s="379"/>
      <c r="N125" s="380"/>
      <c r="O125" s="4"/>
      <c r="P125" s="6"/>
    </row>
    <row r="126" spans="1:19" ht="26.25" hidden="1" x14ac:dyDescent="0.25">
      <c r="A126" s="4"/>
      <c r="B126" s="212" t="s">
        <v>120</v>
      </c>
      <c r="C126" s="458"/>
      <c r="D126" s="458"/>
      <c r="E126" s="458"/>
      <c r="F126" s="458"/>
      <c r="G126" s="458"/>
      <c r="H126" s="458"/>
      <c r="I126" s="458"/>
      <c r="J126" s="458"/>
      <c r="K126" s="458"/>
      <c r="L126" s="458"/>
      <c r="M126" s="458"/>
      <c r="N126" s="458"/>
      <c r="O126" s="6"/>
      <c r="P126" s="6"/>
    </row>
    <row r="127" spans="1:19" ht="15" hidden="1" customHeight="1" thickBot="1" x14ac:dyDescent="0.3">
      <c r="A127" s="4"/>
      <c r="B127" s="459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599"/>
      <c r="P127" s="6"/>
    </row>
    <row r="128" spans="1:19" ht="15.75" hidden="1" thickBot="1" x14ac:dyDescent="0.3">
      <c r="A128" s="4"/>
      <c r="B128" s="218"/>
      <c r="C128" s="600"/>
      <c r="D128" s="600"/>
      <c r="E128" s="601"/>
      <c r="F128" s="460" t="s">
        <v>78</v>
      </c>
      <c r="G128" s="461"/>
      <c r="H128" s="461"/>
      <c r="I128" s="461"/>
      <c r="J128" s="460" t="s">
        <v>121</v>
      </c>
      <c r="K128" s="461"/>
      <c r="L128" s="461"/>
      <c r="M128" s="462"/>
      <c r="N128" s="6"/>
      <c r="O128" s="567"/>
      <c r="P128" s="6"/>
    </row>
    <row r="129" spans="1:16" ht="15.75" hidden="1" thickBot="1" x14ac:dyDescent="0.3">
      <c r="A129" s="4"/>
      <c r="B129" s="218"/>
      <c r="C129" s="602"/>
      <c r="D129" s="602"/>
      <c r="E129" s="603"/>
      <c r="F129" s="236" t="s">
        <v>122</v>
      </c>
      <c r="G129" s="237"/>
      <c r="H129" s="236"/>
      <c r="I129" s="237"/>
      <c r="J129" s="236" t="s">
        <v>122</v>
      </c>
      <c r="K129" s="238"/>
      <c r="L129" s="237"/>
      <c r="M129" s="238"/>
      <c r="N129" s="6"/>
      <c r="O129" s="567"/>
      <c r="P129" s="6"/>
    </row>
    <row r="130" spans="1:16" ht="15.75" hidden="1" thickBot="1" x14ac:dyDescent="0.3">
      <c r="A130" s="4"/>
      <c r="B130" s="218"/>
      <c r="C130" s="602"/>
      <c r="D130" s="602"/>
      <c r="E130" s="603"/>
      <c r="F130" s="231" t="s">
        <v>123</v>
      </c>
      <c r="G130" s="230"/>
      <c r="H130" s="231" t="s">
        <v>124</v>
      </c>
      <c r="I130" s="230"/>
      <c r="J130" s="231" t="s">
        <v>123</v>
      </c>
      <c r="K130" s="230"/>
      <c r="L130" s="236" t="s">
        <v>124</v>
      </c>
      <c r="M130" s="238"/>
      <c r="N130" s="6"/>
      <c r="O130" s="567"/>
      <c r="P130" s="6"/>
    </row>
    <row r="131" spans="1:16" ht="15.75" hidden="1" thickBot="1" x14ac:dyDescent="0.3">
      <c r="A131" s="4"/>
      <c r="B131" s="218"/>
      <c r="C131" s="604"/>
      <c r="D131" s="604"/>
      <c r="E131" s="605"/>
      <c r="F131" s="463">
        <f>H131+300</f>
        <v>550</v>
      </c>
      <c r="G131" s="464"/>
      <c r="H131" s="463">
        <f>J162</f>
        <v>250</v>
      </c>
      <c r="I131" s="464"/>
      <c r="J131" s="463">
        <f>L131+300</f>
        <v>510</v>
      </c>
      <c r="K131" s="464"/>
      <c r="L131" s="463">
        <f>L162</f>
        <v>210</v>
      </c>
      <c r="M131" s="464"/>
      <c r="N131" s="6"/>
      <c r="O131" s="567"/>
      <c r="P131" s="6"/>
    </row>
    <row r="132" spans="1:16" hidden="1" x14ac:dyDescent="0.25">
      <c r="A132" s="4"/>
      <c r="B132" s="218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567"/>
      <c r="P132" s="6"/>
    </row>
    <row r="133" spans="1:16" ht="20.100000000000001" hidden="1" customHeight="1" thickBot="1" x14ac:dyDescent="0.3">
      <c r="A133" s="4"/>
      <c r="B133" s="218"/>
      <c r="C133" s="564" t="s">
        <v>83</v>
      </c>
      <c r="D133" s="564"/>
      <c r="E133" s="565"/>
      <c r="F133" s="548">
        <f>E11</f>
        <v>9</v>
      </c>
      <c r="G133" s="566" t="s">
        <v>3</v>
      </c>
      <c r="H133" s="581" t="s">
        <v>84</v>
      </c>
      <c r="I133" s="582" t="s">
        <v>85</v>
      </c>
      <c r="J133" s="575"/>
      <c r="K133" s="576"/>
      <c r="L133" s="576"/>
      <c r="M133" s="576"/>
      <c r="N133" s="576"/>
      <c r="O133" s="567"/>
      <c r="P133" s="6"/>
    </row>
    <row r="134" spans="1:16" ht="17.25" hidden="1" thickTop="1" thickBot="1" x14ac:dyDescent="0.3">
      <c r="A134" s="4"/>
      <c r="B134" s="218"/>
      <c r="C134" s="564"/>
      <c r="D134" s="564"/>
      <c r="E134" s="565"/>
      <c r="F134" s="565"/>
      <c r="G134" s="566"/>
      <c r="H134" s="583"/>
      <c r="I134" s="575"/>
      <c r="J134" s="575"/>
      <c r="K134" s="576"/>
      <c r="L134" s="576"/>
      <c r="M134" s="576"/>
      <c r="N134" s="576"/>
      <c r="O134" s="567"/>
      <c r="P134" s="6"/>
    </row>
    <row r="135" spans="1:16" ht="16.5" hidden="1" thickBot="1" x14ac:dyDescent="0.3">
      <c r="A135" s="4"/>
      <c r="B135" s="218"/>
      <c r="C135" s="572" t="s">
        <v>86</v>
      </c>
      <c r="D135" s="572"/>
      <c r="E135" s="584"/>
      <c r="F135" s="585">
        <f>IF(F133&gt;=0,IF(F133&lt;F140,1+(F133)*(J140-1)/(F140-0),IF(F133&lt;F141,J140+(F133-F140)*(J141-J140)/(F141-F140),J141+(F133-F141)*(J142-J141)/(F142-F141))),1+0.1*IF(INT(-F133/2)&lt;&gt;-F133/2,INT(-F133/2+1),INT(-F133/2)))</f>
        <v>0.86499999999999999</v>
      </c>
      <c r="G135" s="586"/>
      <c r="H135" s="566"/>
      <c r="I135" s="255"/>
      <c r="J135" s="256" t="s">
        <v>25</v>
      </c>
      <c r="K135" s="257">
        <f>F144</f>
        <v>763.5</v>
      </c>
      <c r="L135" s="258" t="s">
        <v>4</v>
      </c>
      <c r="M135" s="572"/>
      <c r="N135" s="572"/>
      <c r="O135" s="567"/>
      <c r="P135" s="6"/>
    </row>
    <row r="136" spans="1:16" ht="16.5" hidden="1" thickBot="1" x14ac:dyDescent="0.3">
      <c r="A136" s="4"/>
      <c r="B136" s="218"/>
      <c r="C136" s="570"/>
      <c r="D136" s="570"/>
      <c r="E136" s="565"/>
      <c r="F136" s="587"/>
      <c r="G136" s="572"/>
      <c r="H136" s="566"/>
      <c r="I136" s="236" t="s">
        <v>122</v>
      </c>
      <c r="J136" s="237"/>
      <c r="K136" s="236"/>
      <c r="L136" s="238"/>
      <c r="M136" s="572"/>
      <c r="N136" s="572"/>
      <c r="O136" s="567"/>
      <c r="P136" s="6"/>
    </row>
    <row r="137" spans="1:16" ht="16.5" hidden="1" thickBot="1" x14ac:dyDescent="0.3">
      <c r="A137" s="4"/>
      <c r="B137" s="218"/>
      <c r="C137" s="570"/>
      <c r="D137" s="570"/>
      <c r="E137" s="565"/>
      <c r="F137" s="587"/>
      <c r="G137" s="572"/>
      <c r="H137" s="566"/>
      <c r="I137" s="231" t="s">
        <v>123</v>
      </c>
      <c r="J137" s="230"/>
      <c r="K137" s="236" t="s">
        <v>124</v>
      </c>
      <c r="L137" s="238"/>
      <c r="M137" s="572"/>
      <c r="N137" s="572"/>
      <c r="O137" s="567"/>
      <c r="P137" s="6"/>
    </row>
    <row r="138" spans="1:16" ht="16.5" hidden="1" thickBot="1" x14ac:dyDescent="0.3">
      <c r="A138" s="4"/>
      <c r="B138" s="218"/>
      <c r="C138" s="570"/>
      <c r="D138" s="570"/>
      <c r="E138" s="565"/>
      <c r="F138" s="587"/>
      <c r="G138" s="572"/>
      <c r="H138" s="572"/>
      <c r="I138" s="463">
        <f>K138+300</f>
        <v>486.84000000000003</v>
      </c>
      <c r="J138" s="464"/>
      <c r="K138" s="463">
        <f>K149*F135</f>
        <v>186.84</v>
      </c>
      <c r="L138" s="464"/>
      <c r="M138" s="588"/>
      <c r="N138" s="588"/>
      <c r="O138" s="567"/>
      <c r="P138" s="6"/>
    </row>
    <row r="139" spans="1:16" ht="15.75" hidden="1" x14ac:dyDescent="0.25">
      <c r="A139" s="4"/>
      <c r="B139" s="218"/>
      <c r="C139" s="570"/>
      <c r="D139" s="570"/>
      <c r="E139" s="565"/>
      <c r="F139" s="587"/>
      <c r="G139" s="572"/>
      <c r="H139" s="572"/>
      <c r="I139" s="606"/>
      <c r="J139" s="607"/>
      <c r="K139" s="606"/>
      <c r="L139" s="607"/>
      <c r="M139" s="588"/>
      <c r="N139" s="588"/>
      <c r="O139" s="567"/>
      <c r="P139" s="6"/>
    </row>
    <row r="140" spans="1:16" ht="15.75" hidden="1" x14ac:dyDescent="0.25">
      <c r="A140" s="4"/>
      <c r="B140" s="218"/>
      <c r="C140" s="570"/>
      <c r="D140" s="465" t="s">
        <v>125</v>
      </c>
      <c r="E140" s="466"/>
      <c r="F140" s="467">
        <v>10</v>
      </c>
      <c r="G140" s="653"/>
      <c r="H140" s="468" t="s">
        <v>103</v>
      </c>
      <c r="I140" s="469"/>
      <c r="J140" s="470">
        <v>0.85</v>
      </c>
      <c r="K140" s="471" t="s">
        <v>104</v>
      </c>
      <c r="L140" s="608"/>
      <c r="M140" s="609"/>
      <c r="N140" s="588"/>
      <c r="O140" s="567"/>
      <c r="P140" s="6"/>
    </row>
    <row r="141" spans="1:16" ht="15.75" hidden="1" x14ac:dyDescent="0.25">
      <c r="A141" s="4"/>
      <c r="B141" s="218"/>
      <c r="C141" s="570"/>
      <c r="D141" s="472" t="s">
        <v>126</v>
      </c>
      <c r="E141" s="610"/>
      <c r="F141" s="611">
        <v>20</v>
      </c>
      <c r="G141" s="654"/>
      <c r="H141" s="612" t="s">
        <v>103</v>
      </c>
      <c r="I141" s="439"/>
      <c r="J141" s="473">
        <v>0.67</v>
      </c>
      <c r="K141" s="471" t="s">
        <v>106</v>
      </c>
      <c r="L141" s="608"/>
      <c r="M141" s="609"/>
      <c r="N141" s="588"/>
      <c r="O141" s="567"/>
      <c r="P141" s="6"/>
    </row>
    <row r="142" spans="1:16" ht="15.75" hidden="1" x14ac:dyDescent="0.25">
      <c r="A142" s="4"/>
      <c r="B142" s="218"/>
      <c r="C142" s="570"/>
      <c r="D142" s="474" t="s">
        <v>126</v>
      </c>
      <c r="E142" s="475"/>
      <c r="F142" s="476">
        <v>30</v>
      </c>
      <c r="G142" s="655"/>
      <c r="H142" s="477" t="s">
        <v>103</v>
      </c>
      <c r="I142" s="478"/>
      <c r="J142" s="479">
        <v>0.56000000000000005</v>
      </c>
      <c r="K142" s="471" t="s">
        <v>107</v>
      </c>
      <c r="L142" s="608"/>
      <c r="M142" s="609"/>
      <c r="N142" s="588"/>
      <c r="O142" s="567"/>
      <c r="P142" s="6"/>
    </row>
    <row r="143" spans="1:16" ht="15.75" hidden="1" x14ac:dyDescent="0.25">
      <c r="A143" s="4"/>
      <c r="B143" s="218"/>
      <c r="C143" s="570"/>
      <c r="D143" s="570"/>
      <c r="E143" s="565"/>
      <c r="F143" s="577"/>
      <c r="G143" s="589"/>
      <c r="H143" s="590"/>
      <c r="I143" s="591"/>
      <c r="J143" s="590"/>
      <c r="K143" s="591"/>
      <c r="L143" s="590"/>
      <c r="M143" s="591"/>
      <c r="N143" s="590"/>
      <c r="O143" s="567"/>
      <c r="P143" s="6"/>
    </row>
    <row r="144" spans="1:16" ht="19.5" hidden="1" thickBot="1" x14ac:dyDescent="0.3">
      <c r="A144" s="4"/>
      <c r="B144" s="218"/>
      <c r="C144" s="564" t="s">
        <v>50</v>
      </c>
      <c r="D144" s="564"/>
      <c r="E144" s="565"/>
      <c r="F144" s="548">
        <f>E13</f>
        <v>763.5</v>
      </c>
      <c r="G144" s="566" t="s">
        <v>4</v>
      </c>
      <c r="H144" s="573"/>
      <c r="I144" s="592" t="str">
        <f>IF(F144&lt;=840," ","masse maximale 840 kg dépassée")</f>
        <v xml:space="preserve"> </v>
      </c>
      <c r="J144" s="575"/>
      <c r="K144" s="576"/>
      <c r="L144" s="576"/>
      <c r="M144" s="576"/>
      <c r="N144" s="576"/>
      <c r="O144" s="567"/>
      <c r="P144" s="6"/>
    </row>
    <row r="145" spans="1:16" ht="17.25" hidden="1" thickTop="1" thickBot="1" x14ac:dyDescent="0.3">
      <c r="A145" s="4"/>
      <c r="B145" s="218"/>
      <c r="C145" s="564"/>
      <c r="D145" s="564"/>
      <c r="E145" s="565"/>
      <c r="F145" s="565"/>
      <c r="G145" s="566"/>
      <c r="H145" s="573"/>
      <c r="I145" s="573"/>
      <c r="J145" s="575"/>
      <c r="K145" s="576"/>
      <c r="L145" s="576"/>
      <c r="M145" s="576"/>
      <c r="N145" s="576"/>
      <c r="O145" s="567"/>
      <c r="P145" s="6"/>
    </row>
    <row r="146" spans="1:16" ht="16.5" hidden="1" thickBot="1" x14ac:dyDescent="0.3">
      <c r="A146" s="4"/>
      <c r="B146" s="218"/>
      <c r="C146" s="586" t="s">
        <v>87</v>
      </c>
      <c r="D146" s="586"/>
      <c r="E146" s="584"/>
      <c r="F146" s="584">
        <v>840</v>
      </c>
      <c r="G146" s="586" t="s">
        <v>4</v>
      </c>
      <c r="H146" s="594"/>
      <c r="I146" s="255"/>
      <c r="J146" s="256" t="s">
        <v>25</v>
      </c>
      <c r="K146" s="257">
        <f>F144</f>
        <v>763.5</v>
      </c>
      <c r="L146" s="258" t="s">
        <v>4</v>
      </c>
      <c r="M146" s="576"/>
      <c r="N146" s="576"/>
      <c r="O146" s="567"/>
      <c r="P146" s="6"/>
    </row>
    <row r="147" spans="1:16" ht="16.5" hidden="1" thickBot="1" x14ac:dyDescent="0.3">
      <c r="A147" s="4"/>
      <c r="B147" s="218"/>
      <c r="C147" s="564" t="s">
        <v>88</v>
      </c>
      <c r="D147" s="564"/>
      <c r="E147" s="565"/>
      <c r="F147" s="584">
        <v>750</v>
      </c>
      <c r="G147" s="572" t="s">
        <v>4</v>
      </c>
      <c r="H147" s="594"/>
      <c r="I147" s="236" t="s">
        <v>122</v>
      </c>
      <c r="J147" s="237"/>
      <c r="K147" s="236"/>
      <c r="L147" s="238"/>
      <c r="M147" s="576"/>
      <c r="N147" s="576"/>
      <c r="O147" s="567"/>
      <c r="P147" s="6"/>
    </row>
    <row r="148" spans="1:16" ht="16.5" hidden="1" thickBot="1" x14ac:dyDescent="0.3">
      <c r="A148" s="4"/>
      <c r="B148" s="218"/>
      <c r="C148" s="564"/>
      <c r="D148" s="564"/>
      <c r="E148" s="565"/>
      <c r="F148" s="584"/>
      <c r="G148" s="572"/>
      <c r="H148" s="594"/>
      <c r="I148" s="231" t="s">
        <v>123</v>
      </c>
      <c r="J148" s="230"/>
      <c r="K148" s="236" t="s">
        <v>124</v>
      </c>
      <c r="L148" s="238"/>
      <c r="M148" s="576"/>
      <c r="N148" s="576"/>
      <c r="O148" s="567"/>
      <c r="P148" s="6"/>
    </row>
    <row r="149" spans="1:16" ht="16.5" hidden="1" thickBot="1" x14ac:dyDescent="0.3">
      <c r="A149" s="4"/>
      <c r="B149" s="218"/>
      <c r="C149" s="570"/>
      <c r="D149" s="570"/>
      <c r="E149" s="565"/>
      <c r="F149" s="587"/>
      <c r="G149" s="572"/>
      <c r="H149" s="576"/>
      <c r="I149" s="463">
        <f>K149+300</f>
        <v>516</v>
      </c>
      <c r="J149" s="464"/>
      <c r="K149" s="463">
        <f>IF(F144&lt;841,L131+($F$144-$F$147)*(H131-L131)/($F$146-$F$147),"#####")</f>
        <v>216</v>
      </c>
      <c r="L149" s="464"/>
      <c r="M149" s="591"/>
      <c r="N149" s="591"/>
      <c r="O149" s="567"/>
      <c r="P149" s="6"/>
    </row>
    <row r="150" spans="1:16" ht="15.75" hidden="1" x14ac:dyDescent="0.25">
      <c r="A150" s="4"/>
      <c r="B150" s="218"/>
      <c r="C150" s="570"/>
      <c r="D150" s="570"/>
      <c r="E150" s="565"/>
      <c r="F150" s="577"/>
      <c r="G150" s="588"/>
      <c r="H150" s="590"/>
      <c r="I150" s="591"/>
      <c r="J150" s="590"/>
      <c r="K150" s="591"/>
      <c r="L150" s="590"/>
      <c r="M150" s="591"/>
      <c r="N150" s="590"/>
      <c r="O150" s="567"/>
      <c r="P150" s="6"/>
    </row>
    <row r="151" spans="1:16" ht="18.75" hidden="1" x14ac:dyDescent="0.3">
      <c r="A151" s="4"/>
      <c r="B151" s="218"/>
      <c r="C151" s="259" t="s">
        <v>127</v>
      </c>
      <c r="D151" s="595"/>
      <c r="E151" s="596"/>
      <c r="F151" s="260"/>
      <c r="G151" s="261"/>
      <c r="H151" s="261"/>
      <c r="I151" s="596"/>
      <c r="J151" s="596"/>
      <c r="K151" s="596"/>
      <c r="L151" s="596"/>
      <c r="M151" s="596"/>
      <c r="N151" s="596"/>
      <c r="O151" s="567"/>
      <c r="P151" s="6"/>
    </row>
    <row r="152" spans="1:16" ht="15.75" hidden="1" thickBot="1" x14ac:dyDescent="0.3">
      <c r="A152" s="4"/>
      <c r="B152" s="218"/>
      <c r="C152" s="278"/>
      <c r="D152" s="279"/>
      <c r="E152" s="480"/>
      <c r="F152" s="280"/>
      <c r="G152" s="280"/>
      <c r="H152" s="280"/>
      <c r="I152" s="280"/>
      <c r="J152" s="268"/>
      <c r="K152" s="267" t="s">
        <v>128</v>
      </c>
      <c r="L152" s="268">
        <f>K138+300</f>
        <v>486.84000000000003</v>
      </c>
      <c r="M152" s="269" t="s">
        <v>91</v>
      </c>
      <c r="N152" s="281"/>
      <c r="O152" s="567"/>
      <c r="P152" s="6"/>
    </row>
    <row r="153" spans="1:16" ht="27.75" hidden="1" thickBot="1" x14ac:dyDescent="0.3">
      <c r="A153" s="4"/>
      <c r="B153" s="218"/>
      <c r="C153" s="481"/>
      <c r="D153" s="482"/>
      <c r="E153" s="483"/>
      <c r="F153" s="483"/>
      <c r="G153" s="483"/>
      <c r="H153" s="483"/>
      <c r="I153" s="483"/>
      <c r="J153" s="484"/>
      <c r="K153" s="485" t="s">
        <v>129</v>
      </c>
      <c r="L153" s="486">
        <f>K138*1.15+300</f>
        <v>514.86599999999999</v>
      </c>
      <c r="M153" s="487" t="s">
        <v>91</v>
      </c>
      <c r="N153" s="528" t="s">
        <v>143</v>
      </c>
      <c r="O153" s="567"/>
      <c r="P153" s="6"/>
    </row>
    <row r="154" spans="1:16" ht="27.75" hidden="1" thickBot="1" x14ac:dyDescent="0.3">
      <c r="A154" s="4"/>
      <c r="B154" s="218"/>
      <c r="C154" s="488"/>
      <c r="D154" s="489"/>
      <c r="E154" s="490"/>
      <c r="F154" s="490"/>
      <c r="G154" s="490"/>
      <c r="H154" s="490"/>
      <c r="I154" s="490"/>
      <c r="J154" s="491"/>
      <c r="K154" s="492" t="s">
        <v>130</v>
      </c>
      <c r="L154" s="493">
        <f>K138*1.5+300</f>
        <v>580.26</v>
      </c>
      <c r="M154" s="494" t="s">
        <v>91</v>
      </c>
      <c r="N154" s="529" t="s">
        <v>144</v>
      </c>
      <c r="O154" s="567"/>
      <c r="P154" s="6"/>
    </row>
    <row r="155" spans="1:16" ht="16.5" hidden="1" thickTop="1" thickBot="1" x14ac:dyDescent="0.3">
      <c r="A155" s="4"/>
      <c r="B155" s="597"/>
      <c r="C155" s="598"/>
      <c r="D155" s="598"/>
      <c r="E155" s="598"/>
      <c r="F155" s="598"/>
      <c r="G155" s="598"/>
      <c r="H155" s="598"/>
      <c r="I155" s="598"/>
      <c r="J155" s="598"/>
      <c r="K155" s="598"/>
      <c r="L155" s="598"/>
      <c r="M155" s="598"/>
      <c r="N155" s="598"/>
      <c r="O155" s="235"/>
      <c r="P155" s="6"/>
    </row>
    <row r="156" spans="1:16" hidden="1" x14ac:dyDescent="0.25">
      <c r="A156" s="4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6"/>
    </row>
    <row r="157" spans="1:16" ht="18.75" hidden="1" x14ac:dyDescent="0.25">
      <c r="A157" s="550"/>
      <c r="B157" s="289" t="s">
        <v>108</v>
      </c>
      <c r="C157" s="290"/>
      <c r="D157" s="290"/>
      <c r="E157" s="289"/>
      <c r="F157" s="291"/>
      <c r="G157" s="291"/>
      <c r="H157" s="291"/>
      <c r="I157" s="291"/>
      <c r="J157" s="291"/>
      <c r="K157" s="291"/>
      <c r="L157" s="291"/>
      <c r="M157" s="291"/>
      <c r="N157" s="291"/>
      <c r="O157" s="3"/>
      <c r="P157" s="6"/>
    </row>
    <row r="158" spans="1:16" ht="15.75" hidden="1" x14ac:dyDescent="0.25">
      <c r="A158" s="4"/>
      <c r="B158" s="381"/>
      <c r="C158" s="382" t="s">
        <v>131</v>
      </c>
      <c r="D158" s="382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4"/>
      <c r="P158" s="6"/>
    </row>
    <row r="159" spans="1:16" ht="16.5" hidden="1" thickBot="1" x14ac:dyDescent="0.3">
      <c r="A159" s="4"/>
      <c r="B159" s="385"/>
      <c r="C159" s="386" t="s">
        <v>132</v>
      </c>
      <c r="D159" s="387"/>
      <c r="E159" s="388"/>
      <c r="F159" s="388"/>
      <c r="G159" s="388"/>
      <c r="H159" s="388"/>
      <c r="I159" s="388"/>
      <c r="J159" s="388"/>
      <c r="K159" s="388"/>
      <c r="L159" s="388"/>
      <c r="M159" s="388"/>
      <c r="N159" s="388"/>
      <c r="O159" s="389"/>
      <c r="P159" s="6"/>
    </row>
    <row r="160" spans="1:16" ht="15.75" hidden="1" thickBot="1" x14ac:dyDescent="0.3">
      <c r="A160" s="4"/>
      <c r="B160" s="398"/>
      <c r="C160" s="416"/>
      <c r="D160" s="495" t="s">
        <v>133</v>
      </c>
      <c r="E160" s="496"/>
      <c r="F160" s="497"/>
      <c r="G160" s="497"/>
      <c r="H160" s="497"/>
      <c r="I160" s="497"/>
      <c r="J160" s="498">
        <v>840</v>
      </c>
      <c r="K160" s="499" t="s">
        <v>4</v>
      </c>
      <c r="L160" s="498">
        <v>750</v>
      </c>
      <c r="M160" s="499" t="s">
        <v>4</v>
      </c>
      <c r="N160" s="424"/>
      <c r="O160" s="403"/>
      <c r="P160" s="6"/>
    </row>
    <row r="161" spans="1:16" ht="15.75" hidden="1" thickBot="1" x14ac:dyDescent="0.3">
      <c r="A161" s="4"/>
      <c r="B161" s="398"/>
      <c r="C161" s="416"/>
      <c r="D161" s="495" t="s">
        <v>134</v>
      </c>
      <c r="E161" s="496"/>
      <c r="F161" s="497"/>
      <c r="G161" s="497"/>
      <c r="H161" s="497"/>
      <c r="I161" s="497"/>
      <c r="J161" s="498">
        <v>120</v>
      </c>
      <c r="K161" s="499" t="s">
        <v>135</v>
      </c>
      <c r="L161" s="498">
        <v>110</v>
      </c>
      <c r="M161" s="499" t="s">
        <v>135</v>
      </c>
      <c r="N161" s="424"/>
      <c r="O161" s="403"/>
      <c r="P161" s="6"/>
    </row>
    <row r="162" spans="1:16" ht="15.75" hidden="1" thickBot="1" x14ac:dyDescent="0.3">
      <c r="A162" s="4"/>
      <c r="B162" s="398"/>
      <c r="C162" s="416"/>
      <c r="D162" s="495" t="s">
        <v>136</v>
      </c>
      <c r="E162" s="496"/>
      <c r="F162" s="497"/>
      <c r="G162" s="497"/>
      <c r="H162" s="497"/>
      <c r="I162" s="497"/>
      <c r="J162" s="498">
        <v>250</v>
      </c>
      <c r="K162" s="499" t="s">
        <v>91</v>
      </c>
      <c r="L162" s="498">
        <v>210</v>
      </c>
      <c r="M162" s="499" t="s">
        <v>91</v>
      </c>
      <c r="N162" s="424"/>
      <c r="O162" s="403"/>
      <c r="P162" s="6"/>
    </row>
    <row r="163" spans="1:16" hidden="1" x14ac:dyDescent="0.25">
      <c r="A163" s="4"/>
      <c r="B163" s="441"/>
      <c r="C163" s="442"/>
      <c r="D163" s="442"/>
      <c r="E163" s="443"/>
      <c r="F163" s="444"/>
      <c r="G163" s="445"/>
      <c r="H163" s="446"/>
      <c r="I163" s="445"/>
      <c r="J163" s="446"/>
      <c r="K163" s="445"/>
      <c r="L163" s="446"/>
      <c r="M163" s="447"/>
      <c r="N163" s="424"/>
      <c r="O163" s="408"/>
      <c r="P163" s="6"/>
    </row>
    <row r="164" spans="1:16" hidden="1" x14ac:dyDescent="0.25">
      <c r="A164" s="4"/>
      <c r="B164" s="448"/>
      <c r="C164" s="358"/>
      <c r="D164" s="500" t="s">
        <v>137</v>
      </c>
      <c r="E164" s="447"/>
      <c r="F164" s="449"/>
      <c r="G164" s="450"/>
      <c r="H164" s="451"/>
      <c r="I164" s="447"/>
      <c r="J164" s="447"/>
      <c r="K164" s="447"/>
      <c r="L164" s="451"/>
      <c r="M164" s="447"/>
      <c r="N164" s="452"/>
      <c r="O164" s="397"/>
      <c r="P164" s="6"/>
    </row>
    <row r="165" spans="1:16" hidden="1" x14ac:dyDescent="0.25">
      <c r="A165" s="4"/>
      <c r="B165" s="453"/>
      <c r="C165" s="367"/>
      <c r="D165" s="367"/>
      <c r="E165" s="367"/>
      <c r="F165" s="454"/>
      <c r="G165" s="455"/>
      <c r="H165" s="456"/>
      <c r="I165" s="367"/>
      <c r="J165" s="367"/>
      <c r="K165" s="367"/>
      <c r="L165" s="456"/>
      <c r="M165" s="367"/>
      <c r="N165" s="456"/>
      <c r="O165" s="457"/>
      <c r="P165" s="6"/>
    </row>
    <row r="166" spans="1:16" hidden="1" x14ac:dyDescent="0.25">
      <c r="A166" s="6"/>
      <c r="B166" s="4"/>
      <c r="C166" s="376"/>
      <c r="D166" s="376"/>
      <c r="E166" s="377"/>
      <c r="F166" s="378"/>
      <c r="G166" s="379"/>
      <c r="H166" s="380"/>
      <c r="I166" s="379"/>
      <c r="J166" s="380"/>
      <c r="K166" s="379"/>
      <c r="L166" s="380"/>
      <c r="M166" s="379"/>
      <c r="N166" s="380"/>
      <c r="O166" s="4"/>
      <c r="P166" s="6"/>
    </row>
  </sheetData>
  <sheetProtection sheet="1" selectLockedCells="1"/>
  <mergeCells count="20">
    <mergeCell ref="L28:N29"/>
    <mergeCell ref="G28:I28"/>
    <mergeCell ref="H40:H42"/>
    <mergeCell ref="L8:M8"/>
    <mergeCell ref="D105:E105"/>
    <mergeCell ref="G19:I19"/>
    <mergeCell ref="G22:I22"/>
    <mergeCell ref="G29:I29"/>
    <mergeCell ref="K41:L41"/>
    <mergeCell ref="M41:N41"/>
    <mergeCell ref="J28:K29"/>
    <mergeCell ref="B1:G2"/>
    <mergeCell ref="G5:G7"/>
    <mergeCell ref="H13:N13"/>
    <mergeCell ref="H5:N5"/>
    <mergeCell ref="H2:N2"/>
    <mergeCell ref="H1:N1"/>
    <mergeCell ref="J6:K6"/>
    <mergeCell ref="L6:M6"/>
    <mergeCell ref="G9:H9"/>
  </mergeCells>
  <conditionalFormatting sqref="E7">
    <cfRule type="expression" dxfId="32" priority="2" stopIfTrue="1">
      <formula>I6&gt;1500</formula>
    </cfRule>
  </conditionalFormatting>
  <conditionalFormatting sqref="E9">
    <cfRule type="expression" dxfId="31" priority="1" stopIfTrue="1">
      <formula>E9&gt;45</formula>
    </cfRule>
  </conditionalFormatting>
  <conditionalFormatting sqref="F42">
    <cfRule type="expression" dxfId="29" priority="3" stopIfTrue="1">
      <formula>J41&gt;1500</formula>
    </cfRule>
  </conditionalFormatting>
  <conditionalFormatting sqref="F144">
    <cfRule type="cellIs" dxfId="28" priority="10" stopIfTrue="1" operator="greaterThan">
      <formula>840</formula>
    </cfRule>
    <cfRule type="cellIs" dxfId="27" priority="11" stopIfTrue="1" operator="greaterThan">
      <formula>1045</formula>
    </cfRule>
  </conditionalFormatting>
  <conditionalFormatting sqref="H7">
    <cfRule type="expression" dxfId="26" priority="4" stopIfTrue="1">
      <formula>I6&gt;1500</formula>
    </cfRule>
  </conditionalFormatting>
  <conditionalFormatting sqref="I42">
    <cfRule type="expression" dxfId="25" priority="13" stopIfTrue="1">
      <formula>J41&gt;1500</formula>
    </cfRule>
  </conditionalFormatting>
  <conditionalFormatting sqref="L6">
    <cfRule type="cellIs" dxfId="24" priority="5" stopIfTrue="1" operator="greaterThan">
      <formula>1500</formula>
    </cfRule>
  </conditionalFormatting>
  <conditionalFormatting sqref="M41">
    <cfRule type="cellIs" dxfId="23" priority="15" stopIfTrue="1" operator="greaterThan">
      <formula>1500</formula>
    </cfRule>
  </conditionalFormatting>
  <conditionalFormatting sqref="R41">
    <cfRule type="cellIs" dxfId="22" priority="16" stopIfTrue="1" operator="greaterThan">
      <formula>1500</formula>
    </cfRule>
  </conditionalFormatting>
  <pageMargins left="0.15748031496062992" right="0" top="0.19685039370078741" bottom="0" header="0" footer="0"/>
  <pageSetup paperSize="9" scale="95" orientation="portrait" r:id="rId1"/>
  <ignoredErrors>
    <ignoredError sqref="H46:N49 H53 J53 L53 N53 L80:L9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stopIfTrue="1" id="{00000000-000E-0000-0100-00000E000000}">
            <xm:f>E13&gt;'Masse &amp; Centrage'!$E$55</xm:f>
            <x14:dxf>
              <font>
                <color auto="1"/>
              </font>
              <fill>
                <patternFill>
                  <bgColor rgb="FFFF9999"/>
                </patternFill>
              </fill>
            </x14:dxf>
          </x14:cfRule>
          <xm:sqref>E13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2672-B270-41FA-80AC-3AE38846BC1E}">
  <dimension ref="A1:S166"/>
  <sheetViews>
    <sheetView showGridLines="0" showRowColHeaders="0" zoomScaleNormal="100" workbookViewId="0">
      <selection activeCell="E9" sqref="E9"/>
    </sheetView>
  </sheetViews>
  <sheetFormatPr defaultColWidth="11.42578125" defaultRowHeight="15" x14ac:dyDescent="0.25"/>
  <cols>
    <col min="1" max="1" width="3.28515625" customWidth="1"/>
    <col min="2" max="2" width="2.7109375" customWidth="1"/>
    <col min="3" max="3" width="9.7109375" customWidth="1"/>
    <col min="4" max="4" width="10.7109375" customWidth="1"/>
    <col min="5" max="5" width="11.7109375" customWidth="1"/>
    <col min="6" max="6" width="10.7109375" customWidth="1"/>
    <col min="7" max="7" width="7.7109375" customWidth="1"/>
    <col min="8" max="8" width="5.7109375" customWidth="1"/>
    <col min="9" max="9" width="6.7109375" customWidth="1"/>
    <col min="10" max="10" width="5.7109375" customWidth="1"/>
    <col min="11" max="12" width="6.7109375" customWidth="1"/>
    <col min="13" max="13" width="5.7109375" customWidth="1"/>
    <col min="14" max="14" width="7.28515625" customWidth="1"/>
    <col min="15" max="15" width="2.7109375" customWidth="1"/>
    <col min="16" max="16" width="3.28515625" customWidth="1"/>
    <col min="17" max="17" width="1.7109375" customWidth="1"/>
  </cols>
  <sheetData>
    <row r="1" spans="1:16" s="1" customFormat="1" ht="24.95" customHeight="1" x14ac:dyDescent="0.3">
      <c r="A1" s="7"/>
      <c r="B1" s="682" t="str">
        <f>"Performances  "&amp;'Masse &amp; Centrage'!D43&amp;" / "&amp;'Masse &amp; Centrage'!D44</f>
        <v>Performances  DR221 / F-BPCT</v>
      </c>
      <c r="C1" s="683"/>
      <c r="D1" s="683"/>
      <c r="E1" s="683"/>
      <c r="F1" s="683"/>
      <c r="G1" s="683"/>
      <c r="H1" s="694" t="s">
        <v>45</v>
      </c>
      <c r="I1" s="695"/>
      <c r="J1" s="695"/>
      <c r="K1" s="695"/>
      <c r="L1" s="695"/>
      <c r="M1" s="695"/>
      <c r="N1" s="695"/>
      <c r="O1" s="7"/>
      <c r="P1" s="7"/>
    </row>
    <row r="2" spans="1:16" s="1" customFormat="1" ht="24.95" customHeight="1" thickBot="1" x14ac:dyDescent="0.3">
      <c r="A2" s="7"/>
      <c r="B2" s="684"/>
      <c r="C2" s="684"/>
      <c r="D2" s="684"/>
      <c r="E2" s="684"/>
      <c r="F2" s="684"/>
      <c r="G2" s="684"/>
      <c r="H2" s="691" t="s">
        <v>168</v>
      </c>
      <c r="I2" s="692"/>
      <c r="J2" s="692"/>
      <c r="K2" s="692"/>
      <c r="L2" s="692"/>
      <c r="M2" s="692"/>
      <c r="N2" s="693"/>
      <c r="O2" s="7"/>
      <c r="P2" s="7"/>
    </row>
    <row r="3" spans="1:16" s="1" customFormat="1" ht="20.10000000000000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s="1" customFormat="1" ht="12" customHeight="1" x14ac:dyDescent="0.3">
      <c r="A4" s="7"/>
      <c r="B4" s="8"/>
      <c r="C4" s="9"/>
      <c r="D4" s="10"/>
      <c r="E4" s="10"/>
      <c r="F4" s="10"/>
      <c r="G4" s="10"/>
      <c r="H4" s="11"/>
      <c r="I4" s="10"/>
      <c r="J4" s="12"/>
      <c r="K4" s="10"/>
      <c r="L4" s="507"/>
      <c r="M4" s="507"/>
      <c r="N4" s="507"/>
      <c r="O4" s="47"/>
      <c r="P4" s="7"/>
    </row>
    <row r="5" spans="1:16" s="1" customFormat="1" ht="20.100000000000001" customHeight="1" thickBot="1" x14ac:dyDescent="0.3">
      <c r="A5" s="7"/>
      <c r="B5" s="13"/>
      <c r="C5" s="14" t="s">
        <v>5</v>
      </c>
      <c r="D5" s="15"/>
      <c r="E5" s="2">
        <v>1025</v>
      </c>
      <c r="F5" s="16" t="s">
        <v>2</v>
      </c>
      <c r="G5" s="685" t="s">
        <v>6</v>
      </c>
      <c r="H5" s="688" t="s">
        <v>41</v>
      </c>
      <c r="I5" s="689"/>
      <c r="J5" s="689"/>
      <c r="K5" s="689"/>
      <c r="L5" s="689"/>
      <c r="M5" s="689"/>
      <c r="N5" s="690"/>
      <c r="O5" s="48"/>
      <c r="P5" s="7"/>
    </row>
    <row r="6" spans="1:16" s="1" customFormat="1" ht="9.9499999999999993" customHeight="1" x14ac:dyDescent="0.25">
      <c r="A6" s="7"/>
      <c r="B6" s="13"/>
      <c r="C6" s="17"/>
      <c r="D6" s="15"/>
      <c r="E6" s="15"/>
      <c r="F6" s="15"/>
      <c r="G6" s="685"/>
      <c r="H6" s="543">
        <f>E7-(E5-1013)*28</f>
        <v>36</v>
      </c>
      <c r="I6" s="544">
        <f>ROUND(H6/3.28084,0)</f>
        <v>11</v>
      </c>
      <c r="J6" s="696" t="str">
        <f>IF(I6&lt;1501,"",H6)</f>
        <v/>
      </c>
      <c r="K6" s="697"/>
      <c r="L6" s="698" t="str">
        <f>IF(I6&lt;1501,"",I6)</f>
        <v/>
      </c>
      <c r="M6" s="699"/>
      <c r="N6" s="545"/>
      <c r="O6" s="48"/>
      <c r="P6" s="7"/>
    </row>
    <row r="7" spans="1:16" s="1" customFormat="1" ht="20.100000000000001" customHeight="1" thickBot="1" x14ac:dyDescent="0.35">
      <c r="A7" s="7"/>
      <c r="B7" s="13"/>
      <c r="C7" s="14" t="s">
        <v>11</v>
      </c>
      <c r="D7" s="15"/>
      <c r="E7" s="2">
        <v>372</v>
      </c>
      <c r="F7" s="16" t="s">
        <v>1</v>
      </c>
      <c r="G7" s="685"/>
      <c r="H7" s="560">
        <f>IF(I6&lt;1501,H6,"altitude max MdV = 1500 m")</f>
        <v>36</v>
      </c>
      <c r="I7" s="556"/>
      <c r="J7" s="557"/>
      <c r="K7" s="557"/>
      <c r="L7" s="558"/>
      <c r="M7" s="558"/>
      <c r="N7" s="559"/>
      <c r="O7" s="48"/>
      <c r="P7" s="7"/>
    </row>
    <row r="8" spans="1:16" s="1" customFormat="1" ht="18.75" customHeight="1" thickTop="1" x14ac:dyDescent="0.25">
      <c r="A8" s="7"/>
      <c r="B8" s="13"/>
      <c r="C8" s="19"/>
      <c r="D8" s="19"/>
      <c r="E8" s="19"/>
      <c r="F8" s="19"/>
      <c r="G8" s="19"/>
      <c r="H8" s="656"/>
      <c r="I8" s="544"/>
      <c r="J8" s="657"/>
      <c r="K8" s="658" t="s">
        <v>157</v>
      </c>
      <c r="L8" s="710">
        <f>I42+120*(E9-(15-2*I42/1000))</f>
        <v>1124.6399999999999</v>
      </c>
      <c r="M8" s="710"/>
      <c r="N8" s="19"/>
      <c r="O8" s="48"/>
      <c r="P8" s="7"/>
    </row>
    <row r="9" spans="1:16" s="1" customFormat="1" ht="20.100000000000001" customHeight="1" thickBot="1" x14ac:dyDescent="0.3">
      <c r="A9" s="7"/>
      <c r="B9" s="13"/>
      <c r="C9" s="14" t="s">
        <v>0</v>
      </c>
      <c r="D9" s="15"/>
      <c r="E9" s="2">
        <v>24</v>
      </c>
      <c r="F9" s="16" t="s">
        <v>7</v>
      </c>
      <c r="G9" s="700">
        <f>ROUND(E9-15+M34*2/1000,0)</f>
        <v>9</v>
      </c>
      <c r="H9" s="700"/>
      <c r="I9"/>
      <c r="J9"/>
      <c r="K9"/>
      <c r="L9"/>
      <c r="M9"/>
      <c r="N9"/>
      <c r="O9" s="48"/>
      <c r="P9" s="7"/>
    </row>
    <row r="10" spans="1:16" s="1" customFormat="1" ht="9.9499999999999993" customHeight="1" x14ac:dyDescent="0.25">
      <c r="A10" s="7"/>
      <c r="B10" s="13"/>
      <c r="C10" s="18"/>
      <c r="D10" s="15"/>
      <c r="E10" s="20"/>
      <c r="F10" s="21"/>
      <c r="G10" s="22"/>
      <c r="H10" s="23"/>
      <c r="I10" s="22"/>
      <c r="J10" s="23"/>
      <c r="K10" s="22"/>
      <c r="L10" s="19"/>
      <c r="M10" s="19"/>
      <c r="N10" s="19"/>
      <c r="O10" s="48"/>
      <c r="P10" s="7"/>
    </row>
    <row r="11" spans="1:16" s="1" customFormat="1" ht="20.100000000000001" customHeight="1" thickBot="1" x14ac:dyDescent="0.3">
      <c r="A11" s="7"/>
      <c r="B11" s="13"/>
      <c r="C11" s="78" t="s">
        <v>46</v>
      </c>
      <c r="D11" s="24"/>
      <c r="E11" s="2">
        <v>7</v>
      </c>
      <c r="F11" s="25" t="s">
        <v>3</v>
      </c>
      <c r="G11" s="551" t="s">
        <v>84</v>
      </c>
      <c r="H11" s="552" t="s">
        <v>147</v>
      </c>
      <c r="I11" s="553"/>
      <c r="J11" s="554"/>
      <c r="K11" s="554"/>
      <c r="L11" s="555"/>
      <c r="M11" s="555"/>
      <c r="N11" s="555"/>
      <c r="O11" s="547"/>
      <c r="P11" s="7"/>
    </row>
    <row r="12" spans="1:16" s="1" customFormat="1" ht="9.9499999999999993" customHeight="1" x14ac:dyDescent="0.25">
      <c r="A12" s="7"/>
      <c r="B12" s="13"/>
      <c r="C12" s="78"/>
      <c r="D12" s="24"/>
      <c r="E12" s="77"/>
      <c r="F12" s="25"/>
      <c r="G12" s="26"/>
      <c r="H12" s="26"/>
      <c r="I12" s="27"/>
      <c r="J12" s="501"/>
      <c r="K12" s="25"/>
      <c r="L12" s="19"/>
      <c r="M12" s="19"/>
      <c r="N12" s="19"/>
      <c r="O12" s="48"/>
      <c r="P12" s="7"/>
    </row>
    <row r="13" spans="1:16" s="1" customFormat="1" ht="18" customHeight="1" thickBot="1" x14ac:dyDescent="0.3">
      <c r="A13" s="7"/>
      <c r="B13" s="13"/>
      <c r="C13" s="78" t="s">
        <v>50</v>
      </c>
      <c r="D13" s="24"/>
      <c r="E13" s="652">
        <f>'Masse &amp; Centrage'!D16</f>
        <v>734.7</v>
      </c>
      <c r="F13" s="25" t="s">
        <v>4</v>
      </c>
      <c r="G13" s="26"/>
      <c r="H13" s="686" t="str">
        <f>IF(E13&lt;='Masse &amp; Centrage'!E55," ","masse max  =  "&amp;'Masse &amp; Centrage'!E55&amp;" kg")</f>
        <v xml:space="preserve"> </v>
      </c>
      <c r="I13" s="687"/>
      <c r="J13" s="687"/>
      <c r="K13" s="687"/>
      <c r="L13" s="687"/>
      <c r="M13" s="687"/>
      <c r="N13" s="687"/>
      <c r="O13" s="48"/>
      <c r="P13" s="7"/>
    </row>
    <row r="14" spans="1:16" s="1" customFormat="1" ht="9.9499999999999993" customHeight="1" thickBot="1" x14ac:dyDescent="0.3">
      <c r="A14" s="7"/>
      <c r="B14" s="114"/>
      <c r="C14" s="50"/>
      <c r="D14" s="51"/>
      <c r="E14" s="52"/>
      <c r="F14" s="53"/>
      <c r="G14" s="54"/>
      <c r="H14" s="55"/>
      <c r="I14" s="54"/>
      <c r="J14" s="55"/>
      <c r="K14" s="54"/>
      <c r="L14" s="115"/>
      <c r="M14" s="115"/>
      <c r="N14" s="115"/>
      <c r="O14" s="56"/>
      <c r="P14" s="7"/>
    </row>
    <row r="15" spans="1:16" s="1" customFormat="1" ht="20.100000000000001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s="1" customFormat="1" ht="21.95" customHeight="1" x14ac:dyDescent="0.25">
      <c r="A16" s="7"/>
      <c r="B16" s="73"/>
      <c r="C16" s="80" t="s">
        <v>153</v>
      </c>
      <c r="D16" s="75"/>
      <c r="E16" s="76"/>
      <c r="F16" s="76"/>
      <c r="G16" s="74"/>
      <c r="H16" s="74"/>
      <c r="I16" s="74"/>
      <c r="J16" s="74"/>
      <c r="K16" s="74"/>
      <c r="L16" s="534"/>
      <c r="M16" s="534"/>
      <c r="N16" s="534"/>
      <c r="O16" s="530"/>
      <c r="P16" s="7"/>
    </row>
    <row r="17" spans="1:16" s="1" customFormat="1" ht="9.9499999999999993" customHeight="1" x14ac:dyDescent="0.25">
      <c r="A17" s="7"/>
      <c r="B17" s="502"/>
      <c r="C17" s="503"/>
      <c r="D17" s="504"/>
      <c r="E17" s="505"/>
      <c r="F17" s="505"/>
      <c r="G17" s="506"/>
      <c r="H17" s="506"/>
      <c r="I17" s="506"/>
      <c r="J17" s="506"/>
      <c r="K17" s="506"/>
      <c r="L17" s="19"/>
      <c r="M17" s="19"/>
      <c r="N17" s="19"/>
      <c r="O17" s="531"/>
      <c r="P17" s="7"/>
    </row>
    <row r="18" spans="1:16" s="1" customFormat="1" ht="20.100000000000001" customHeight="1" x14ac:dyDescent="0.3">
      <c r="A18" s="7"/>
      <c r="B18" s="13"/>
      <c r="C18" s="31" t="s">
        <v>141</v>
      </c>
      <c r="D18" s="32"/>
      <c r="E18" s="33"/>
      <c r="F18" s="34"/>
      <c r="G18" s="34"/>
      <c r="H18" s="32"/>
      <c r="I18" s="32"/>
      <c r="J18" s="32"/>
      <c r="K18" s="32"/>
      <c r="L18" s="32"/>
      <c r="M18" s="32"/>
      <c r="N18" s="32"/>
      <c r="O18" s="48"/>
      <c r="P18" s="7"/>
    </row>
    <row r="19" spans="1:16" s="1" customFormat="1" ht="20.100000000000001" customHeight="1" x14ac:dyDescent="0.25">
      <c r="A19" s="7"/>
      <c r="B19" s="13"/>
      <c r="C19" s="83"/>
      <c r="D19" s="84"/>
      <c r="E19" s="85"/>
      <c r="F19" s="85" t="s">
        <v>43</v>
      </c>
      <c r="G19" s="706">
        <f>L153</f>
        <v>509.14359999999999</v>
      </c>
      <c r="H19" s="707"/>
      <c r="I19" s="707"/>
      <c r="J19" s="723"/>
      <c r="K19" s="724"/>
      <c r="L19" s="701" t="s">
        <v>155</v>
      </c>
      <c r="M19" s="702"/>
      <c r="N19" s="703"/>
      <c r="O19" s="48"/>
      <c r="P19" s="7"/>
    </row>
    <row r="20" spans="1:16" s="1" customFormat="1" ht="15" customHeight="1" thickBot="1" x14ac:dyDescent="0.35">
      <c r="A20" s="7"/>
      <c r="B20" s="13"/>
      <c r="C20" s="116"/>
      <c r="D20" s="117"/>
      <c r="E20" s="118"/>
      <c r="F20" s="119" t="s">
        <v>61</v>
      </c>
      <c r="G20" s="717">
        <f>L154</f>
        <v>572.79600000000005</v>
      </c>
      <c r="H20" s="718"/>
      <c r="I20" s="718"/>
      <c r="J20" s="725"/>
      <c r="K20" s="725"/>
      <c r="L20" s="704"/>
      <c r="M20" s="704"/>
      <c r="N20" s="705"/>
      <c r="O20" s="48"/>
      <c r="P20" s="7"/>
    </row>
    <row r="21" spans="1:16" s="1" customFormat="1" ht="12" customHeight="1" thickBot="1" x14ac:dyDescent="0.3">
      <c r="A21" s="7"/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56"/>
      <c r="P21" s="7"/>
    </row>
    <row r="22" spans="1:16" s="1" customFormat="1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s="1" customFormat="1" ht="21.95" customHeight="1" x14ac:dyDescent="0.25">
      <c r="A23" s="7"/>
      <c r="B23" s="73"/>
      <c r="C23" s="79" t="s">
        <v>146</v>
      </c>
      <c r="D23" s="75"/>
      <c r="E23" s="76"/>
      <c r="F23" s="76"/>
      <c r="G23" s="74"/>
      <c r="H23" s="74"/>
      <c r="I23" s="74"/>
      <c r="J23" s="74"/>
      <c r="K23" s="74"/>
      <c r="L23" s="534"/>
      <c r="M23" s="534"/>
      <c r="N23" s="534"/>
      <c r="O23" s="530"/>
      <c r="P23" s="7"/>
    </row>
    <row r="24" spans="1:16" s="1" customFormat="1" ht="9.9499999999999993" customHeight="1" x14ac:dyDescent="0.25">
      <c r="A24" s="7"/>
      <c r="B24" s="13"/>
      <c r="C24" s="18"/>
      <c r="D24" s="15"/>
      <c r="E24" s="20"/>
      <c r="F24" s="28"/>
      <c r="G24" s="29"/>
      <c r="H24" s="30"/>
      <c r="I24" s="29"/>
      <c r="J24" s="30"/>
      <c r="K24" s="29"/>
      <c r="L24" s="19"/>
      <c r="M24" s="19"/>
      <c r="N24" s="19"/>
      <c r="O24" s="48"/>
      <c r="P24" s="7"/>
    </row>
    <row r="25" spans="1:16" s="1" customFormat="1" ht="20.100000000000001" customHeight="1" x14ac:dyDescent="0.3">
      <c r="A25" s="7"/>
      <c r="B25" s="13"/>
      <c r="C25" s="31" t="s">
        <v>138</v>
      </c>
      <c r="D25" s="32"/>
      <c r="E25" s="33"/>
      <c r="F25" s="34"/>
      <c r="G25" s="34"/>
      <c r="H25" s="32"/>
      <c r="I25" s="32"/>
      <c r="J25" s="32"/>
      <c r="K25" s="32"/>
      <c r="L25" s="19"/>
      <c r="M25" s="19"/>
      <c r="N25" s="19"/>
      <c r="O25" s="48"/>
      <c r="P25" s="7"/>
    </row>
    <row r="26" spans="1:16" s="1" customFormat="1" ht="20.100000000000001" customHeight="1" thickBot="1" x14ac:dyDescent="0.3">
      <c r="A26" s="7"/>
      <c r="B26" s="35"/>
      <c r="C26" s="36"/>
      <c r="D26" s="37"/>
      <c r="E26" s="38"/>
      <c r="F26" s="38" t="s">
        <v>42</v>
      </c>
      <c r="G26" s="713">
        <f>L69</f>
        <v>396.40965973201605</v>
      </c>
      <c r="H26" s="714"/>
      <c r="I26" s="714"/>
      <c r="J26" s="40"/>
      <c r="K26" s="41"/>
      <c r="L26" s="39"/>
      <c r="M26" s="40"/>
      <c r="N26" s="649" t="s">
        <v>156</v>
      </c>
      <c r="O26" s="48"/>
      <c r="P26" s="7"/>
    </row>
    <row r="27" spans="1:16" s="1" customFormat="1" ht="14.1" customHeight="1" x14ac:dyDescent="0.25">
      <c r="A27" s="7"/>
      <c r="B27" s="13"/>
      <c r="C27" s="18"/>
      <c r="D27" s="15"/>
      <c r="E27" s="20"/>
      <c r="F27" s="28"/>
      <c r="G27" s="29"/>
      <c r="H27" s="30"/>
      <c r="I27" s="29"/>
      <c r="J27" s="30"/>
      <c r="K27" s="29"/>
      <c r="L27" s="19"/>
      <c r="M27" s="19"/>
      <c r="N27" s="19"/>
      <c r="O27" s="48"/>
      <c r="P27" s="7"/>
    </row>
    <row r="28" spans="1:16" s="1" customFormat="1" ht="20.100000000000001" customHeight="1" x14ac:dyDescent="0.3">
      <c r="A28" s="7"/>
      <c r="B28" s="13"/>
      <c r="C28" s="31" t="s">
        <v>139</v>
      </c>
      <c r="D28" s="32"/>
      <c r="E28" s="33"/>
      <c r="F28" s="34"/>
      <c r="G28" s="34"/>
      <c r="H28" s="32"/>
      <c r="I28" s="32"/>
      <c r="J28" s="32"/>
      <c r="K28" s="32"/>
      <c r="L28" s="19"/>
      <c r="M28" s="19"/>
      <c r="N28" s="19"/>
      <c r="O28" s="48"/>
      <c r="P28" s="7"/>
    </row>
    <row r="29" spans="1:16" s="1" customFormat="1" ht="20.100000000000001" customHeight="1" thickBot="1" x14ac:dyDescent="0.3">
      <c r="A29" s="7"/>
      <c r="B29" s="42"/>
      <c r="C29" s="43"/>
      <c r="D29" s="44"/>
      <c r="E29" s="45"/>
      <c r="F29" s="45" t="s">
        <v>140</v>
      </c>
      <c r="G29" s="715">
        <f>L72</f>
        <v>474.87244990855999</v>
      </c>
      <c r="H29" s="716"/>
      <c r="I29" s="716"/>
      <c r="J29" s="532"/>
      <c r="K29" s="46"/>
      <c r="L29" s="533"/>
      <c r="M29" s="532"/>
      <c r="N29" s="651" t="s">
        <v>156</v>
      </c>
      <c r="O29" s="48"/>
      <c r="P29" s="7"/>
    </row>
    <row r="30" spans="1:16" s="1" customFormat="1" ht="12" customHeight="1" thickBot="1" x14ac:dyDescent="0.3">
      <c r="A30" s="7"/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56"/>
      <c r="P30" s="7"/>
    </row>
    <row r="31" spans="1:16" s="1" customFormat="1" ht="20.100000000000001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1" customFormat="1" ht="12" customHeight="1" x14ac:dyDescent="0.25">
      <c r="A32" s="7"/>
      <c r="B32" s="659" t="s">
        <v>158</v>
      </c>
      <c r="C32" s="630" t="s">
        <v>159</v>
      </c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7"/>
      <c r="P32" s="7"/>
    </row>
    <row r="33" spans="1:19" s="1" customFormat="1" ht="12" customHeight="1" x14ac:dyDescent="0.25">
      <c r="A33" s="7"/>
      <c r="B33" s="7"/>
      <c r="C33" s="630" t="s">
        <v>160</v>
      </c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7"/>
      <c r="P33" s="7"/>
    </row>
    <row r="34" spans="1:19" s="1" customFormat="1" ht="12" customHeight="1" x14ac:dyDescent="0.25">
      <c r="A34" s="7"/>
      <c r="B34" s="7"/>
      <c r="C34" s="630" t="s">
        <v>161</v>
      </c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7"/>
      <c r="P34" s="7"/>
    </row>
    <row r="35" spans="1:19" s="1" customFormat="1" ht="12" customHeight="1" x14ac:dyDescent="0.25">
      <c r="A35" s="7"/>
      <c r="B35" s="7"/>
      <c r="C35" s="630" t="s">
        <v>162</v>
      </c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7"/>
      <c r="P35" s="7"/>
    </row>
    <row r="36" spans="1:19" s="1" customFormat="1" ht="12" customHeight="1" x14ac:dyDescent="0.25">
      <c r="A36" s="7"/>
      <c r="B36" s="7"/>
      <c r="C36" s="630" t="s">
        <v>163</v>
      </c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7"/>
      <c r="P36" s="7"/>
    </row>
    <row r="37" spans="1:19" s="1" customFormat="1" ht="20.100000000000001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9" ht="39.950000000000003" hidden="1" customHeight="1" x14ac:dyDescent="0.25">
      <c r="A38" s="6"/>
      <c r="B38" s="212" t="s">
        <v>74</v>
      </c>
      <c r="C38" s="213"/>
      <c r="D38" s="213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6"/>
    </row>
    <row r="39" spans="1:19" ht="15" hidden="1" customHeight="1" x14ac:dyDescent="0.3">
      <c r="A39" s="6"/>
      <c r="B39" s="215"/>
      <c r="C39" s="216"/>
      <c r="D39" s="216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563"/>
      <c r="P39" s="6"/>
    </row>
    <row r="40" spans="1:19" ht="21.95" hidden="1" customHeight="1" thickBot="1" x14ac:dyDescent="0.3">
      <c r="A40" s="6"/>
      <c r="B40" s="218"/>
      <c r="C40" s="564" t="s">
        <v>5</v>
      </c>
      <c r="D40" s="564"/>
      <c r="E40" s="565"/>
      <c r="F40" s="548">
        <f>E5</f>
        <v>1025</v>
      </c>
      <c r="G40" s="566" t="s">
        <v>2</v>
      </c>
      <c r="H40" s="708" t="s">
        <v>6</v>
      </c>
      <c r="I40" s="219" t="s">
        <v>75</v>
      </c>
      <c r="J40" s="220"/>
      <c r="K40" s="221"/>
      <c r="L40" s="221"/>
      <c r="M40" s="221"/>
      <c r="N40" s="222"/>
      <c r="O40" s="567"/>
      <c r="P40" s="6"/>
      <c r="S40" s="223"/>
    </row>
    <row r="41" spans="1:19" ht="9.9499999999999993" hidden="1" customHeight="1" thickTop="1" x14ac:dyDescent="0.25">
      <c r="A41" s="4"/>
      <c r="B41" s="218"/>
      <c r="C41" s="564"/>
      <c r="D41" s="564"/>
      <c r="E41" s="565"/>
      <c r="F41" s="565"/>
      <c r="G41" s="565"/>
      <c r="H41" s="709"/>
      <c r="I41" s="568">
        <f>F42-(F40-1013)*28</f>
        <v>36</v>
      </c>
      <c r="J41" s="569">
        <f>ROUND(I41/3.28084,0)</f>
        <v>11</v>
      </c>
      <c r="K41" s="719" t="str">
        <f>IF(J41&lt;1501,"",I41)</f>
        <v/>
      </c>
      <c r="L41" s="720"/>
      <c r="M41" s="721" t="str">
        <f>IF(J41&lt;1501,"",J41)</f>
        <v/>
      </c>
      <c r="N41" s="722"/>
      <c r="O41" s="567"/>
      <c r="P41" s="6"/>
      <c r="R41" s="224"/>
    </row>
    <row r="42" spans="1:19" ht="21.95" hidden="1" customHeight="1" thickBot="1" x14ac:dyDescent="0.3">
      <c r="A42" s="4"/>
      <c r="B42" s="218"/>
      <c r="C42" s="564" t="s">
        <v>76</v>
      </c>
      <c r="D42" s="564"/>
      <c r="E42" s="565"/>
      <c r="F42" s="548">
        <f>E7</f>
        <v>372</v>
      </c>
      <c r="G42" s="566" t="s">
        <v>1</v>
      </c>
      <c r="H42" s="709"/>
      <c r="I42" s="549">
        <f>IF(J41&lt;1501,I41,"altitude max du manuel de vol = 1500 m")</f>
        <v>36</v>
      </c>
      <c r="J42" s="225"/>
      <c r="K42" s="226"/>
      <c r="L42" s="226"/>
      <c r="M42" s="226"/>
      <c r="N42" s="561">
        <f>F42-(F40-1013)*28</f>
        <v>36</v>
      </c>
      <c r="O42" s="567"/>
      <c r="P42" s="6"/>
      <c r="S42" s="223"/>
    </row>
    <row r="43" spans="1:19" ht="9.9499999999999993" hidden="1" customHeight="1" thickTop="1" thickBot="1" x14ac:dyDescent="0.3">
      <c r="A43" s="4"/>
      <c r="B43" s="218"/>
      <c r="C43" s="570"/>
      <c r="D43" s="570"/>
      <c r="E43" s="565"/>
      <c r="F43" s="565"/>
      <c r="G43" s="571"/>
      <c r="H43" s="566"/>
      <c r="I43" s="564"/>
      <c r="J43" s="572"/>
      <c r="K43" s="572"/>
      <c r="L43" s="572"/>
      <c r="M43" s="571"/>
      <c r="N43" s="566"/>
      <c r="O43" s="567"/>
      <c r="P43" s="6"/>
    </row>
    <row r="44" spans="1:19" ht="20.100000000000001" hidden="1" customHeight="1" thickBot="1" x14ac:dyDescent="0.3">
      <c r="A44" s="4"/>
      <c r="B44" s="218"/>
      <c r="C44" s="227" t="s">
        <v>77</v>
      </c>
      <c r="D44" s="227"/>
      <c r="E44" s="228" t="s">
        <v>0</v>
      </c>
      <c r="F44" s="229"/>
      <c r="G44" s="508" t="s">
        <v>78</v>
      </c>
      <c r="H44" s="508"/>
      <c r="I44" s="508"/>
      <c r="J44" s="508"/>
      <c r="K44" s="509" t="s">
        <v>79</v>
      </c>
      <c r="L44" s="508"/>
      <c r="M44" s="508"/>
      <c r="N44" s="510"/>
      <c r="O44" s="567"/>
      <c r="P44" s="6"/>
    </row>
    <row r="45" spans="1:19" ht="20.100000000000001" hidden="1" customHeight="1" thickBot="1" x14ac:dyDescent="0.3">
      <c r="A45" s="4"/>
      <c r="B45" s="218"/>
      <c r="C45" s="233" t="s">
        <v>80</v>
      </c>
      <c r="D45" s="233"/>
      <c r="E45" s="234"/>
      <c r="F45" s="235"/>
      <c r="G45" s="511" t="s">
        <v>81</v>
      </c>
      <c r="H45" s="512"/>
      <c r="I45" s="511" t="s">
        <v>82</v>
      </c>
      <c r="J45" s="512"/>
      <c r="K45" s="511" t="s">
        <v>81</v>
      </c>
      <c r="L45" s="513"/>
      <c r="M45" s="512" t="s">
        <v>82</v>
      </c>
      <c r="N45" s="513"/>
      <c r="O45" s="567"/>
      <c r="P45" s="6"/>
    </row>
    <row r="46" spans="1:19" ht="18" hidden="1" customHeight="1" x14ac:dyDescent="0.25">
      <c r="A46" s="4"/>
      <c r="B46" s="218"/>
      <c r="C46" s="231"/>
      <c r="D46" s="232"/>
      <c r="E46" s="239"/>
      <c r="F46" s="240">
        <v>0</v>
      </c>
      <c r="G46" s="514">
        <f>IF($C$47&lt;=$C$86,G80+($C$47-$C$82)*(G84-G80)/($C$86-$C$82),IF($C$47&lt;=$C$90,G84+($C$47-$C$86)*(G88-G84)/($C$90-$C$86),G88+($C$47-$C$90)*(G92-G88)/($C$94-$C$90)))</f>
        <v>441.09729334308707</v>
      </c>
      <c r="H46" s="515">
        <f>G46*60/100</f>
        <v>264.65837600585223</v>
      </c>
      <c r="I46" s="514">
        <f>IF($C$47&lt;=$C$86,I80+($C$47-$C$82)*(I84-I80)/($C$86-$C$82),IF($C$47&lt;=$C$90,I84+($C$47-$C$86)*(I88-I84)/($C$90-$C$86),I88+($C$47-$C$90)*(I92-I88)/($C$94-$C$90)))</f>
        <v>521.75566934893925</v>
      </c>
      <c r="J46" s="515">
        <f>I46*70/100</f>
        <v>365.22896854425744</v>
      </c>
      <c r="K46" s="516">
        <f>IF($C$47&lt;=$C$86,K80+($C$47-$C$82)*(K84-K80)/($C$86-$C$82),IF($C$47&lt;=$C$90,K84+($C$47-$C$86)*(K88-K84)/($C$90-$C$86),K88+($C$47-$C$90)*(K92-K88)/($C$94-$C$90)))</f>
        <v>262.26368319542524</v>
      </c>
      <c r="L46" s="517">
        <f>K46*60/100</f>
        <v>157.35820991725515</v>
      </c>
      <c r="M46" s="516">
        <f>IF($C$47&lt;=$C$86,M80+($C$47-$C$82)*(M84-M80)/($C$86-$C$82),IF($C$47&lt;=$C$90,M84+($C$47-$C$86)*(M88-M84)/($C$90-$C$86),M88+($C$47-$C$90)*(M92-M88)/($C$94-$C$90)))</f>
        <v>310.22081893645748</v>
      </c>
      <c r="N46" s="517">
        <f>M46*70/100</f>
        <v>217.15457325552023</v>
      </c>
      <c r="O46" s="567"/>
      <c r="P46" s="6"/>
    </row>
    <row r="47" spans="1:19" ht="18" hidden="1" customHeight="1" x14ac:dyDescent="0.25">
      <c r="A47" s="4"/>
      <c r="B47" s="218"/>
      <c r="C47" s="241">
        <f>IF(J41&lt;1501,IF(F61&lt;841,I41,"#####"),"#####")</f>
        <v>36</v>
      </c>
      <c r="D47" s="242"/>
      <c r="E47" s="243"/>
      <c r="F47" s="244">
        <v>15</v>
      </c>
      <c r="G47" s="518">
        <f>IF($C$47&lt;=$C$86,G81+($C$47-$C$82)*(G85-G81)/($C$86-$C$82),IF($C$47&lt;=$C$90,G85+($C$47-$C$86)*(G89-G85)/($C$90-$C$86),G89+($C$47-$C$90)*(G93-G89)/($C$94-$C$90)))</f>
        <v>471.53621068032186</v>
      </c>
      <c r="H47" s="519">
        <f>G47*60/100</f>
        <v>282.92172640819308</v>
      </c>
      <c r="I47" s="518">
        <f>IF($C$47&lt;=$C$86,I81+($C$47-$C$82)*(I85-I81)/($C$86-$C$82),IF($C$47&lt;=$C$90,I85+($C$47-$C$86)*(I89-I85)/($C$90-$C$86),I89+($C$47-$C$90)*(I93-I89)/($C$94-$C$90)))</f>
        <v>562.19458668617415</v>
      </c>
      <c r="J47" s="519">
        <f>I47*70/100</f>
        <v>393.53621068032191</v>
      </c>
      <c r="K47" s="520">
        <f>IF($C$47&lt;=$C$86,K81+($C$47-$C$82)*(K85-K81)/($C$86-$C$82),IF($C$47&lt;=$C$90,K85+($C$47-$C$86)*(K89-K85)/($C$90-$C$86),K89+($C$47-$C$90)*(K93-K89)/($C$94-$C$90)))</f>
        <v>280.36178239898368</v>
      </c>
      <c r="L47" s="521">
        <f>K47*60/100</f>
        <v>168.21706943939023</v>
      </c>
      <c r="M47" s="520">
        <f>IF($C$47&lt;=$C$86,M81+($C$47-$C$82)*(M85-M81)/($C$86-$C$82),IF($C$47&lt;=$C$90,M85+($C$47-$C$86)*(M89-M85)/($C$90-$C$86),M89+($C$47-$C$90)*(M93-M89)/($C$94-$C$90)))</f>
        <v>334.26462869307147</v>
      </c>
      <c r="N47" s="521">
        <f>M47*70/100</f>
        <v>233.98524008515002</v>
      </c>
      <c r="O47" s="567"/>
      <c r="P47" s="6"/>
    </row>
    <row r="48" spans="1:19" ht="18" hidden="1" customHeight="1" x14ac:dyDescent="0.25">
      <c r="A48" s="4"/>
      <c r="B48" s="218"/>
      <c r="C48" s="241"/>
      <c r="D48" s="242"/>
      <c r="E48" s="245"/>
      <c r="F48" s="246">
        <v>30</v>
      </c>
      <c r="G48" s="518">
        <f>IF($C$47&lt;=$C$86,G82+($C$47-$C$82)*(G86-G82)/($C$86-$C$82),IF($C$47&lt;=$C$90,G86+($C$47-$C$86)*(G90-G86)/($C$90-$C$86),G90+($C$47-$C$90)*(G94-G90)/($C$94-$C$90)))</f>
        <v>501.75566934893931</v>
      </c>
      <c r="H48" s="519">
        <f>G48*60/100</f>
        <v>301.05340160936356</v>
      </c>
      <c r="I48" s="518">
        <f>IF($C$47&lt;=$C$86,I82+($C$47-$C$82)*(I86-I82)/($C$86-$C$82),IF($C$47&lt;=$C$90,I86+($C$47-$C$86)*(I90-I86)/($C$90-$C$86),I90+($C$47-$C$90)*(I94-I90)/($C$94-$C$90)))</f>
        <v>602.85296269202638</v>
      </c>
      <c r="J48" s="519">
        <f>I48*70/100</f>
        <v>421.99707388441851</v>
      </c>
      <c r="K48" s="520">
        <f>IF($C$47&lt;=$C$86,K82+($C$47-$C$82)*(K86-K82)/($C$86-$C$82),IF($C$47&lt;=$C$90,K86+($C$47-$C$86)*(K90-K86)/($C$90-$C$86),K90+($C$47-$C$90)*(K94-K90)/($C$94-$C$90)))</f>
        <v>298.32939783034629</v>
      </c>
      <c r="L48" s="521">
        <f>K48*60/100</f>
        <v>178.99763869820777</v>
      </c>
      <c r="M48" s="520">
        <f>IF($C$47&lt;=$C$86,M82+($C$47-$C$82)*(M86-M82)/($C$86-$C$82),IF($C$47&lt;=$C$90,M86+($C$47-$C$86)*(M90-M86)/($C$90-$C$86),M90+($C$47-$C$90)*(M94-M90)/($C$94-$C$90)))</f>
        <v>358.43892222188128</v>
      </c>
      <c r="N48" s="521">
        <f>M48*70/100</f>
        <v>250.9072455553169</v>
      </c>
      <c r="O48" s="567"/>
      <c r="P48" s="6"/>
    </row>
    <row r="49" spans="1:16" ht="18" hidden="1" customHeight="1" thickBot="1" x14ac:dyDescent="0.3">
      <c r="A49" s="4"/>
      <c r="B49" s="218"/>
      <c r="C49" s="247"/>
      <c r="D49" s="248"/>
      <c r="E49" s="249"/>
      <c r="F49" s="250">
        <v>45</v>
      </c>
      <c r="G49" s="522">
        <f>IF($C$47&lt;=$C$86,G83+($C$47-$C$82)*(G87-G83)/($C$86-$C$82),IF($C$47&lt;=$C$90,G87+($C$47-$C$86)*(G91-G87)/($C$90-$C$86),G91+($C$47-$C$90)*(G95-G91)/($C$94-$C$90)))</f>
        <v>541.9751280175567</v>
      </c>
      <c r="H49" s="523">
        <f>G49*60/100</f>
        <v>325.18507681053399</v>
      </c>
      <c r="I49" s="522">
        <f>IF($C$47&lt;=$C$86,I83+($C$47-$C$82)*(I87-I83)/($C$86-$C$82),IF($C$47&lt;=$C$90,I87+($C$47-$C$86)*(I91-I87)/($C$90-$C$86),I91+($C$47-$C$90)*(I95-I91)/($C$94-$C$90)))</f>
        <v>663.07242136064372</v>
      </c>
      <c r="J49" s="523">
        <f>I49*70/100</f>
        <v>464.15069495245058</v>
      </c>
      <c r="K49" s="524">
        <f>IF($C$47&lt;=$C$86,K83+($C$47-$C$82)*(K87-K83)/($C$86-$C$82),IF($C$47&lt;=$C$90,K87+($C$47-$C$86)*(K91-K87)/($C$90-$C$86),K91+($C$47-$C$90)*(K95-K91)/($C$94-$C$90)))</f>
        <v>322.24272381476442</v>
      </c>
      <c r="L49" s="525">
        <f>K49*60/100</f>
        <v>193.34563428885863</v>
      </c>
      <c r="M49" s="524">
        <f>IF($C$47&lt;=$C$86,M83+($C$47-$C$82)*(M87-M83)/($C$86-$C$82),IF($C$47&lt;=$C$90,M87+($C$47-$C$86)*(M91-M87)/($C$90-$C$86),M91+($C$47-$C$90)*(M95-M91)/($C$94-$C$90)))</f>
        <v>394.2436693124107</v>
      </c>
      <c r="N49" s="525">
        <f>M49*70/100</f>
        <v>275.97056851868751</v>
      </c>
      <c r="O49" s="567"/>
      <c r="P49" s="6"/>
    </row>
    <row r="50" spans="1:16" ht="9.9499999999999993" hidden="1" customHeight="1" x14ac:dyDescent="0.25">
      <c r="A50" s="4"/>
      <c r="B50" s="218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567"/>
      <c r="P50" s="6"/>
    </row>
    <row r="51" spans="1:16" ht="21.95" hidden="1" customHeight="1" thickBot="1" x14ac:dyDescent="0.3">
      <c r="A51" s="4"/>
      <c r="B51" s="218"/>
      <c r="C51" s="564" t="s">
        <v>0</v>
      </c>
      <c r="D51" s="564"/>
      <c r="E51" s="565"/>
      <c r="F51" s="548">
        <f>E9</f>
        <v>24</v>
      </c>
      <c r="G51" s="566" t="s">
        <v>10</v>
      </c>
      <c r="H51" s="573"/>
      <c r="I51" s="574"/>
      <c r="J51" s="575"/>
      <c r="K51" s="576"/>
      <c r="L51" s="576"/>
      <c r="M51" s="576"/>
      <c r="N51" s="576"/>
      <c r="O51" s="567"/>
      <c r="P51" s="6"/>
    </row>
    <row r="52" spans="1:16" ht="9.9499999999999993" hidden="1" customHeight="1" thickTop="1" thickBot="1" x14ac:dyDescent="0.3">
      <c r="A52" s="4"/>
      <c r="B52" s="218"/>
      <c r="C52" s="564"/>
      <c r="D52" s="564"/>
      <c r="E52" s="565"/>
      <c r="F52" s="565"/>
      <c r="G52" s="566"/>
      <c r="H52" s="573"/>
      <c r="I52" s="575"/>
      <c r="J52" s="575"/>
      <c r="K52" s="576"/>
      <c r="L52" s="576"/>
      <c r="M52" s="576"/>
      <c r="N52" s="576"/>
      <c r="O52" s="567"/>
      <c r="P52" s="6"/>
    </row>
    <row r="53" spans="1:16" ht="20.100000000000001" hidden="1" customHeight="1" thickBot="1" x14ac:dyDescent="0.3">
      <c r="A53" s="4"/>
      <c r="B53" s="218"/>
      <c r="C53" s="570"/>
      <c r="D53" s="570"/>
      <c r="E53" s="565"/>
      <c r="F53" s="565">
        <f>IF(F51&lt;46,F51,"#####")</f>
        <v>24</v>
      </c>
      <c r="G53" s="252">
        <f>IF($F$53&lt;$F$47,G46+($F$53-$F$46)*(G47-G46)/($F$47-$F$46),IF($F$53&lt;$F$48,G47+($F$53-$F$47)*(G48-G47)/($F$48-$F$47),G48+($F$53-$F$48)*(G49-G48)/($F$49-$F$48)))</f>
        <v>489.66788588149234</v>
      </c>
      <c r="H53" s="253">
        <f>G53*60/100</f>
        <v>293.80073152889543</v>
      </c>
      <c r="I53" s="252">
        <f>IF($F$53&lt;$F$47,I46+($F$53-$F$46)*(I47-I46)/($F$47-$F$46),IF($F$53&lt;$F$48,I47+($F$53-$F$47)*(I48-I47)/($F$48-$F$47),I48+($F$53-$F$48)*(I49-I48)/($F$49-$F$48)))</f>
        <v>586.58961228968553</v>
      </c>
      <c r="J53" s="253">
        <f>I53*70/100</f>
        <v>410.6127286027799</v>
      </c>
      <c r="K53" s="252">
        <f>IF($F$53&lt;$F$47,K46+($F$53-$F$46)*(K47-K46)/($F$47-$F$46),IF($F$53&lt;$F$48,K47+($F$53-$F$47)*(K48-K47)/($F$48-$F$47),K48+($F$53-$F$48)*(K49-K48)/($F$49-$F$48)))</f>
        <v>291.14235165780127</v>
      </c>
      <c r="L53" s="254">
        <f>K53*60/100</f>
        <v>174.68541099468075</v>
      </c>
      <c r="M53" s="252">
        <f>IF($F$53&lt;$F$47,M46+($F$53-$F$46)*(M47-M46)/($F$47-$F$46),IF($F$53&lt;$F$48,M47+($F$53-$F$47)*(M48-M47)/($F$48-$F$47),M48+($F$53-$F$48)*(M49-M48)/($F$49-$F$48)))</f>
        <v>348.76920481035734</v>
      </c>
      <c r="N53" s="254">
        <f>M53*70/100</f>
        <v>244.13844336725015</v>
      </c>
      <c r="O53" s="567"/>
      <c r="P53" s="6"/>
    </row>
    <row r="54" spans="1:16" ht="9.9499999999999993" hidden="1" customHeight="1" x14ac:dyDescent="0.25">
      <c r="A54" s="4"/>
      <c r="B54" s="218"/>
      <c r="C54" s="570"/>
      <c r="D54" s="570"/>
      <c r="E54" s="565"/>
      <c r="F54" s="577"/>
      <c r="G54" s="578"/>
      <c r="H54" s="579"/>
      <c r="I54" s="580"/>
      <c r="J54" s="579"/>
      <c r="K54" s="580"/>
      <c r="L54" s="579"/>
      <c r="M54" s="580"/>
      <c r="N54" s="579"/>
      <c r="O54" s="567"/>
      <c r="P54" s="6"/>
    </row>
    <row r="55" spans="1:16" ht="21.95" hidden="1" customHeight="1" thickBot="1" x14ac:dyDescent="0.3">
      <c r="A55" s="4"/>
      <c r="B55" s="218"/>
      <c r="C55" s="564" t="s">
        <v>83</v>
      </c>
      <c r="D55" s="564"/>
      <c r="E55" s="565"/>
      <c r="F55" s="548">
        <f>E11</f>
        <v>7</v>
      </c>
      <c r="G55" s="566" t="s">
        <v>3</v>
      </c>
      <c r="H55" s="581" t="s">
        <v>84</v>
      </c>
      <c r="I55" s="582" t="s">
        <v>85</v>
      </c>
      <c r="J55" s="575"/>
      <c r="K55" s="576"/>
      <c r="L55" s="576"/>
      <c r="M55" s="576"/>
      <c r="N55" s="576"/>
      <c r="O55" s="567"/>
      <c r="P55" s="6"/>
    </row>
    <row r="56" spans="1:16" ht="9.9499999999999993" hidden="1" customHeight="1" thickTop="1" thickBot="1" x14ac:dyDescent="0.3">
      <c r="A56" s="4"/>
      <c r="B56" s="218"/>
      <c r="C56" s="564"/>
      <c r="D56" s="564"/>
      <c r="E56" s="565"/>
      <c r="F56" s="565"/>
      <c r="G56" s="566"/>
      <c r="H56" s="583"/>
      <c r="I56" s="575"/>
      <c r="J56" s="575"/>
      <c r="K56" s="576"/>
      <c r="L56" s="576"/>
      <c r="M56" s="576"/>
      <c r="N56" s="576"/>
      <c r="O56" s="567"/>
      <c r="P56" s="6"/>
    </row>
    <row r="57" spans="1:16" ht="20.100000000000001" hidden="1" customHeight="1" thickBot="1" x14ac:dyDescent="0.3">
      <c r="A57" s="4"/>
      <c r="B57" s="218"/>
      <c r="C57" s="572" t="s">
        <v>86</v>
      </c>
      <c r="D57" s="572"/>
      <c r="E57" s="584"/>
      <c r="F57" s="585">
        <f>IF(F55&gt;=0,IF(F55&lt;G98,1+(F55)*(J98-1)/(G98-0),IF(F55&lt;G99,J98+(F55-G98)*(J99-J98)/(G99-G98),J99+(F55-G99)*(J100-J99)/(G100-G99))),1+0.1*IF(INT(-F55/2)&lt;&gt;-F55/2,INT(-F55/2+1),INT(-F55/2)))</f>
        <v>0.89500000000000002</v>
      </c>
      <c r="G57" s="586"/>
      <c r="H57" s="566"/>
      <c r="I57" s="255"/>
      <c r="J57" s="256" t="s">
        <v>25</v>
      </c>
      <c r="K57" s="257">
        <f>F61</f>
        <v>734.7</v>
      </c>
      <c r="L57" s="258" t="s">
        <v>4</v>
      </c>
      <c r="M57" s="572"/>
      <c r="N57" s="572"/>
      <c r="O57" s="567"/>
      <c r="P57" s="6"/>
    </row>
    <row r="58" spans="1:16" ht="20.100000000000001" hidden="1" customHeight="1" thickBot="1" x14ac:dyDescent="0.3">
      <c r="A58" s="4"/>
      <c r="B58" s="218"/>
      <c r="C58" s="570"/>
      <c r="D58" s="570"/>
      <c r="E58" s="565"/>
      <c r="F58" s="587"/>
      <c r="G58" s="572"/>
      <c r="H58" s="566"/>
      <c r="I58" s="236" t="s">
        <v>81</v>
      </c>
      <c r="J58" s="237"/>
      <c r="K58" s="236" t="s">
        <v>82</v>
      </c>
      <c r="L58" s="238"/>
      <c r="M58" s="572"/>
      <c r="N58" s="572"/>
      <c r="O58" s="567"/>
      <c r="P58" s="6"/>
    </row>
    <row r="59" spans="1:16" ht="20.100000000000001" hidden="1" customHeight="1" thickBot="1" x14ac:dyDescent="0.3">
      <c r="A59" s="4"/>
      <c r="B59" s="218"/>
      <c r="C59" s="570"/>
      <c r="D59" s="570"/>
      <c r="E59" s="565"/>
      <c r="F59" s="587"/>
      <c r="G59" s="572"/>
      <c r="H59" s="572"/>
      <c r="I59" s="252">
        <f>I65*F57</f>
        <v>344.70405194088357</v>
      </c>
      <c r="J59" s="253">
        <f>J65*F57</f>
        <v>206.82243116453014</v>
      </c>
      <c r="K59" s="252">
        <f>K65*F57</f>
        <v>412.93256513787827</v>
      </c>
      <c r="L59" s="253">
        <f>L65*F57</f>
        <v>289.05279559651484</v>
      </c>
      <c r="M59" s="588"/>
      <c r="N59" s="588"/>
      <c r="O59" s="567"/>
      <c r="P59" s="6"/>
    </row>
    <row r="60" spans="1:16" ht="9.9499999999999993" hidden="1" customHeight="1" x14ac:dyDescent="0.25">
      <c r="A60" s="4"/>
      <c r="B60" s="218"/>
      <c r="C60" s="570"/>
      <c r="D60" s="570"/>
      <c r="E60" s="565"/>
      <c r="F60" s="577"/>
      <c r="G60" s="589"/>
      <c r="H60" s="590"/>
      <c r="I60" s="591"/>
      <c r="J60" s="590"/>
      <c r="K60" s="591"/>
      <c r="L60" s="590"/>
      <c r="M60" s="591"/>
      <c r="N60" s="590"/>
      <c r="O60" s="567"/>
      <c r="P60" s="6"/>
    </row>
    <row r="61" spans="1:16" ht="21.95" hidden="1" customHeight="1" thickBot="1" x14ac:dyDescent="0.3">
      <c r="A61" s="4"/>
      <c r="B61" s="218"/>
      <c r="C61" s="564" t="s">
        <v>50</v>
      </c>
      <c r="D61" s="564"/>
      <c r="E61" s="565"/>
      <c r="F61" s="548">
        <f>E13</f>
        <v>734.7</v>
      </c>
      <c r="G61" s="566" t="s">
        <v>4</v>
      </c>
      <c r="H61" s="573"/>
      <c r="I61" s="592" t="str">
        <f>IF(F61&lt;=840," ","masse maximale 840 kg dépassée")</f>
        <v xml:space="preserve"> </v>
      </c>
      <c r="J61" s="575"/>
      <c r="K61" s="576"/>
      <c r="L61" s="576"/>
      <c r="M61" s="576"/>
      <c r="N61" s="593"/>
      <c r="O61" s="567"/>
      <c r="P61" s="6"/>
    </row>
    <row r="62" spans="1:16" ht="9.9499999999999993" hidden="1" customHeight="1" thickTop="1" thickBot="1" x14ac:dyDescent="0.3">
      <c r="A62" s="4"/>
      <c r="B62" s="218"/>
      <c r="C62" s="564"/>
      <c r="D62" s="564"/>
      <c r="E62" s="565"/>
      <c r="F62" s="565"/>
      <c r="G62" s="566"/>
      <c r="H62" s="573"/>
      <c r="I62" s="573"/>
      <c r="J62" s="575"/>
      <c r="K62" s="576"/>
      <c r="L62" s="576"/>
      <c r="M62" s="576"/>
      <c r="N62" s="576"/>
      <c r="O62" s="567"/>
      <c r="P62" s="6"/>
    </row>
    <row r="63" spans="1:16" ht="20.100000000000001" hidden="1" customHeight="1" thickBot="1" x14ac:dyDescent="0.3">
      <c r="A63" s="4"/>
      <c r="B63" s="218"/>
      <c r="C63" s="586" t="s">
        <v>87</v>
      </c>
      <c r="D63" s="586"/>
      <c r="E63" s="584"/>
      <c r="F63" s="584">
        <v>840</v>
      </c>
      <c r="G63" s="586" t="s">
        <v>4</v>
      </c>
      <c r="H63" s="594"/>
      <c r="I63" s="255"/>
      <c r="J63" s="256" t="s">
        <v>25</v>
      </c>
      <c r="K63" s="257">
        <f>F61</f>
        <v>734.7</v>
      </c>
      <c r="L63" s="258" t="s">
        <v>4</v>
      </c>
      <c r="M63" s="576"/>
      <c r="N63" s="576"/>
      <c r="O63" s="567"/>
      <c r="P63" s="6"/>
    </row>
    <row r="64" spans="1:16" ht="20.100000000000001" hidden="1" customHeight="1" thickBot="1" x14ac:dyDescent="0.3">
      <c r="A64" s="4"/>
      <c r="B64" s="218"/>
      <c r="C64" s="564" t="s">
        <v>88</v>
      </c>
      <c r="D64" s="564"/>
      <c r="E64" s="565"/>
      <c r="F64" s="584">
        <v>640</v>
      </c>
      <c r="G64" s="572" t="s">
        <v>4</v>
      </c>
      <c r="H64" s="594"/>
      <c r="I64" s="236" t="s">
        <v>81</v>
      </c>
      <c r="J64" s="237"/>
      <c r="K64" s="236" t="s">
        <v>82</v>
      </c>
      <c r="L64" s="238"/>
      <c r="M64" s="576"/>
      <c r="N64" s="576"/>
      <c r="O64" s="567"/>
      <c r="P64" s="6"/>
    </row>
    <row r="65" spans="1:16" ht="20.100000000000001" hidden="1" customHeight="1" thickBot="1" x14ac:dyDescent="0.3">
      <c r="A65" s="4"/>
      <c r="B65" s="218"/>
      <c r="C65" s="570"/>
      <c r="D65" s="570"/>
      <c r="E65" s="565"/>
      <c r="F65" s="565">
        <f>IF(F61&lt;841,F61,"#####")</f>
        <v>734.7</v>
      </c>
      <c r="G65" s="572"/>
      <c r="H65" s="576"/>
      <c r="I65" s="252">
        <f>K53+($F$65-$F$64)*(G53-K53)/($F$63-$F$64)</f>
        <v>385.14419211271905</v>
      </c>
      <c r="J65" s="253">
        <f>L53+($F$65-$F$64)*(H53-L53)/($F$63-$F$64)</f>
        <v>231.08651526763143</v>
      </c>
      <c r="K65" s="252">
        <f>M53+($F$65-$F$64)*(I53-M53)/($F$63-$F$64)</f>
        <v>461.37716775181929</v>
      </c>
      <c r="L65" s="253">
        <f>N53+($F$65-$F$64)*(J53-N53)/($F$63-$F$64)</f>
        <v>322.96401742627353</v>
      </c>
      <c r="M65" s="591"/>
      <c r="N65" s="591"/>
      <c r="O65" s="567"/>
      <c r="P65" s="6"/>
    </row>
    <row r="66" spans="1:16" ht="20.100000000000001" hidden="1" customHeight="1" x14ac:dyDescent="0.25">
      <c r="A66" s="4"/>
      <c r="B66" s="218"/>
      <c r="C66" s="570"/>
      <c r="D66" s="570"/>
      <c r="E66" s="565"/>
      <c r="F66" s="577"/>
      <c r="G66" s="588"/>
      <c r="H66" s="590"/>
      <c r="I66" s="591"/>
      <c r="J66" s="590"/>
      <c r="K66" s="591"/>
      <c r="L66" s="590"/>
      <c r="M66" s="591"/>
      <c r="N66" s="590"/>
      <c r="O66" s="567"/>
      <c r="P66" s="6"/>
    </row>
    <row r="67" spans="1:16" ht="35.1" hidden="1" customHeight="1" x14ac:dyDescent="0.3">
      <c r="A67" s="4"/>
      <c r="B67" s="218"/>
      <c r="C67" s="259" t="s">
        <v>89</v>
      </c>
      <c r="D67" s="595"/>
      <c r="E67" s="596"/>
      <c r="F67" s="260"/>
      <c r="G67" s="261"/>
      <c r="H67" s="261"/>
      <c r="I67" s="596"/>
      <c r="J67" s="596"/>
      <c r="K67" s="596"/>
      <c r="L67" s="596"/>
      <c r="M67" s="596"/>
      <c r="N67" s="596"/>
      <c r="O67" s="567"/>
      <c r="P67" s="6"/>
    </row>
    <row r="68" spans="1:16" ht="12" hidden="1" customHeight="1" thickBot="1" x14ac:dyDescent="0.3">
      <c r="A68" s="4"/>
      <c r="B68" s="218"/>
      <c r="C68" s="262"/>
      <c r="D68" s="263"/>
      <c r="E68" s="264"/>
      <c r="F68" s="265"/>
      <c r="G68" s="265"/>
      <c r="H68" s="265"/>
      <c r="I68" s="265"/>
      <c r="J68" s="266"/>
      <c r="K68" s="267" t="s">
        <v>90</v>
      </c>
      <c r="L68" s="268">
        <f>I59</f>
        <v>344.70405194088357</v>
      </c>
      <c r="M68" s="269" t="s">
        <v>91</v>
      </c>
      <c r="N68" s="270"/>
      <c r="O68" s="567"/>
      <c r="P68" s="6"/>
    </row>
    <row r="69" spans="1:16" ht="39.950000000000003" hidden="1" customHeight="1" thickBot="1" x14ac:dyDescent="0.3">
      <c r="A69" s="4"/>
      <c r="B69" s="218"/>
      <c r="C69" s="271"/>
      <c r="D69" s="272"/>
      <c r="E69" s="273"/>
      <c r="F69" s="273"/>
      <c r="G69" s="273"/>
      <c r="H69" s="273"/>
      <c r="I69" s="273"/>
      <c r="J69" s="274"/>
      <c r="K69" s="275" t="s">
        <v>92</v>
      </c>
      <c r="L69" s="276">
        <f>L68*1.15</f>
        <v>396.40965973201605</v>
      </c>
      <c r="M69" s="277" t="s">
        <v>91</v>
      </c>
      <c r="N69" s="526" t="s">
        <v>142</v>
      </c>
      <c r="O69" s="567"/>
      <c r="P69" s="6"/>
    </row>
    <row r="70" spans="1:16" ht="45" hidden="1" customHeight="1" thickTop="1" x14ac:dyDescent="0.3">
      <c r="A70" s="4"/>
      <c r="B70" s="218"/>
      <c r="C70" s="259" t="s">
        <v>93</v>
      </c>
      <c r="D70" s="595"/>
      <c r="E70" s="596"/>
      <c r="F70" s="260"/>
      <c r="G70" s="261"/>
      <c r="H70" s="261"/>
      <c r="I70" s="596"/>
      <c r="J70" s="596"/>
      <c r="K70" s="596"/>
      <c r="L70" s="596"/>
      <c r="M70" s="596"/>
      <c r="N70" s="596"/>
      <c r="O70" s="567"/>
      <c r="P70" s="6"/>
    </row>
    <row r="71" spans="1:16" ht="12" hidden="1" customHeight="1" thickBot="1" x14ac:dyDescent="0.3">
      <c r="A71" s="4"/>
      <c r="B71" s="218"/>
      <c r="C71" s="278"/>
      <c r="D71" s="279"/>
      <c r="E71" s="280"/>
      <c r="F71" s="280"/>
      <c r="G71" s="280"/>
      <c r="H71" s="280"/>
      <c r="I71" s="280"/>
      <c r="J71" s="268"/>
      <c r="K71" s="267" t="s">
        <v>90</v>
      </c>
      <c r="L71" s="268">
        <f>K59</f>
        <v>412.93256513787827</v>
      </c>
      <c r="M71" s="280" t="s">
        <v>91</v>
      </c>
      <c r="N71" s="281"/>
      <c r="O71" s="567"/>
      <c r="P71" s="6"/>
    </row>
    <row r="72" spans="1:16" ht="39.950000000000003" hidden="1" customHeight="1" thickBot="1" x14ac:dyDescent="0.3">
      <c r="A72" s="4"/>
      <c r="B72" s="218"/>
      <c r="C72" s="282"/>
      <c r="D72" s="283"/>
      <c r="E72" s="284"/>
      <c r="F72" s="284"/>
      <c r="G72" s="284"/>
      <c r="H72" s="284"/>
      <c r="I72" s="284"/>
      <c r="J72" s="285"/>
      <c r="K72" s="286" t="s">
        <v>94</v>
      </c>
      <c r="L72" s="287">
        <f>K59*1.15</f>
        <v>474.87244990855999</v>
      </c>
      <c r="M72" s="288" t="s">
        <v>91</v>
      </c>
      <c r="N72" s="527" t="s">
        <v>142</v>
      </c>
      <c r="O72" s="567"/>
      <c r="P72" s="6"/>
    </row>
    <row r="73" spans="1:16" ht="15" hidden="1" customHeight="1" thickTop="1" thickBot="1" x14ac:dyDescent="0.3">
      <c r="A73" s="4"/>
      <c r="B73" s="597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235"/>
      <c r="P73" s="6"/>
    </row>
    <row r="74" spans="1:16" ht="20.100000000000001" hidden="1" customHeight="1" x14ac:dyDescent="0.25">
      <c r="A74" s="4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6"/>
    </row>
    <row r="75" spans="1:16" ht="30" hidden="1" customHeight="1" x14ac:dyDescent="0.25">
      <c r="A75" s="4"/>
      <c r="B75" s="289" t="s">
        <v>95</v>
      </c>
      <c r="C75" s="290"/>
      <c r="D75" s="290"/>
      <c r="E75" s="289"/>
      <c r="F75" s="291"/>
      <c r="G75" s="291"/>
      <c r="H75" s="291"/>
      <c r="I75" s="291"/>
      <c r="J75" s="291"/>
      <c r="K75" s="291"/>
      <c r="L75" s="291"/>
      <c r="M75" s="291"/>
      <c r="N75" s="291"/>
      <c r="O75" s="3"/>
      <c r="P75" s="6"/>
    </row>
    <row r="76" spans="1:16" ht="24.95" hidden="1" customHeight="1" x14ac:dyDescent="0.25">
      <c r="A76" s="4"/>
      <c r="B76" s="292"/>
      <c r="C76" s="293" t="s">
        <v>96</v>
      </c>
      <c r="D76" s="293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5"/>
      <c r="P76" s="6"/>
    </row>
    <row r="77" spans="1:16" ht="20.100000000000001" hidden="1" customHeight="1" thickBot="1" x14ac:dyDescent="0.3">
      <c r="A77" s="4"/>
      <c r="B77" s="296"/>
      <c r="C77" s="297" t="s">
        <v>97</v>
      </c>
      <c r="D77" s="297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9"/>
      <c r="P77" s="6"/>
    </row>
    <row r="78" spans="1:16" ht="18" hidden="1" customHeight="1" thickBot="1" x14ac:dyDescent="0.3">
      <c r="A78" s="4"/>
      <c r="B78" s="300"/>
      <c r="C78" s="301" t="s">
        <v>77</v>
      </c>
      <c r="D78" s="301"/>
      <c r="E78" s="302" t="s">
        <v>0</v>
      </c>
      <c r="F78" s="303"/>
      <c r="G78" s="304" t="s">
        <v>78</v>
      </c>
      <c r="H78" s="304"/>
      <c r="I78" s="304"/>
      <c r="J78" s="304"/>
      <c r="K78" s="305" t="s">
        <v>79</v>
      </c>
      <c r="L78" s="304"/>
      <c r="M78" s="304"/>
      <c r="N78" s="306"/>
      <c r="O78" s="307"/>
      <c r="P78" s="6"/>
    </row>
    <row r="79" spans="1:16" ht="18" hidden="1" customHeight="1" thickBot="1" x14ac:dyDescent="0.3">
      <c r="A79" s="4"/>
      <c r="B79" s="300"/>
      <c r="C79" s="308" t="s">
        <v>98</v>
      </c>
      <c r="D79" s="308"/>
      <c r="E79" s="309"/>
      <c r="F79" s="310"/>
      <c r="G79" s="311" t="s">
        <v>81</v>
      </c>
      <c r="H79" s="312"/>
      <c r="I79" s="311" t="s">
        <v>82</v>
      </c>
      <c r="J79" s="312"/>
      <c r="K79" s="311" t="s">
        <v>81</v>
      </c>
      <c r="L79" s="313"/>
      <c r="M79" s="312" t="s">
        <v>82</v>
      </c>
      <c r="N79" s="313"/>
      <c r="O79" s="307"/>
      <c r="P79" s="6"/>
    </row>
    <row r="80" spans="1:16" ht="18" hidden="1" customHeight="1" x14ac:dyDescent="0.25">
      <c r="A80" s="4"/>
      <c r="B80" s="300"/>
      <c r="C80" s="301"/>
      <c r="D80" s="314"/>
      <c r="E80" s="315"/>
      <c r="F80" s="316">
        <v>0</v>
      </c>
      <c r="G80" s="317">
        <f>F110</f>
        <v>440</v>
      </c>
      <c r="H80" s="318">
        <f t="shared" ref="H80:H95" si="0">G80*60/100</f>
        <v>264</v>
      </c>
      <c r="I80" s="319">
        <f>F118</f>
        <v>520</v>
      </c>
      <c r="J80" s="320">
        <f>I80*70/100</f>
        <v>364</v>
      </c>
      <c r="K80" s="319">
        <f>G80*(640/830)^2</f>
        <v>261.61126433444622</v>
      </c>
      <c r="L80" s="318">
        <f>K80*60/100</f>
        <v>156.96675860066773</v>
      </c>
      <c r="M80" s="321">
        <f>I80*(640/830)^2</f>
        <v>309.176948758891</v>
      </c>
      <c r="N80" s="322">
        <f>M80*70/100</f>
        <v>216.4238641312237</v>
      </c>
      <c r="O80" s="307"/>
      <c r="P80" s="6"/>
    </row>
    <row r="81" spans="1:16" ht="18" hidden="1" customHeight="1" x14ac:dyDescent="0.25">
      <c r="A81" s="4"/>
      <c r="B81" s="300"/>
      <c r="C81" s="323">
        <v>0</v>
      </c>
      <c r="D81" s="324" t="s">
        <v>99</v>
      </c>
      <c r="E81" s="325"/>
      <c r="F81" s="326">
        <v>15</v>
      </c>
      <c r="G81" s="327">
        <f>H110</f>
        <v>470</v>
      </c>
      <c r="H81" s="328">
        <f t="shared" si="0"/>
        <v>282</v>
      </c>
      <c r="I81" s="329">
        <f>H118</f>
        <v>560</v>
      </c>
      <c r="J81" s="330">
        <f t="shared" ref="J81:J95" si="1">I81*70/100</f>
        <v>392</v>
      </c>
      <c r="K81" s="329">
        <f t="shared" ref="K81:K95" si="2">G81*(640/830)^2</f>
        <v>279.44839599361302</v>
      </c>
      <c r="L81" s="328">
        <f>K81*60/100</f>
        <v>167.66903759616781</v>
      </c>
      <c r="M81" s="331">
        <f t="shared" ref="M81:M95" si="3">I81*(640/830)^2</f>
        <v>332.95979097111342</v>
      </c>
      <c r="N81" s="332">
        <f t="shared" ref="N81:N95" si="4">M81*70/100</f>
        <v>233.07185367977937</v>
      </c>
      <c r="O81" s="307"/>
      <c r="P81" s="6"/>
    </row>
    <row r="82" spans="1:16" ht="18" hidden="1" customHeight="1" x14ac:dyDescent="0.25">
      <c r="A82" s="4"/>
      <c r="B82" s="300"/>
      <c r="C82" s="333">
        <f>C81*3.2808</f>
        <v>0</v>
      </c>
      <c r="D82" s="334" t="s">
        <v>1</v>
      </c>
      <c r="E82" s="335"/>
      <c r="F82" s="336">
        <v>30</v>
      </c>
      <c r="G82" s="327">
        <f>J110</f>
        <v>500</v>
      </c>
      <c r="H82" s="328">
        <f t="shared" si="0"/>
        <v>300</v>
      </c>
      <c r="I82" s="329">
        <f>J118</f>
        <v>600</v>
      </c>
      <c r="J82" s="330">
        <f t="shared" si="1"/>
        <v>420</v>
      </c>
      <c r="K82" s="329">
        <f t="shared" si="2"/>
        <v>297.28552765277982</v>
      </c>
      <c r="L82" s="328">
        <f>K82*60/100</f>
        <v>178.37131659166789</v>
      </c>
      <c r="M82" s="331">
        <f t="shared" si="3"/>
        <v>356.74263318333578</v>
      </c>
      <c r="N82" s="332">
        <f t="shared" si="4"/>
        <v>249.71984322833504</v>
      </c>
      <c r="O82" s="307"/>
      <c r="P82" s="6"/>
    </row>
    <row r="83" spans="1:16" ht="18" hidden="1" customHeight="1" thickBot="1" x14ac:dyDescent="0.3">
      <c r="A83" s="4"/>
      <c r="B83" s="300"/>
      <c r="C83" s="337"/>
      <c r="D83" s="338"/>
      <c r="E83" s="339"/>
      <c r="F83" s="340">
        <v>45</v>
      </c>
      <c r="G83" s="341">
        <f>L110</f>
        <v>540</v>
      </c>
      <c r="H83" s="342">
        <f t="shared" si="0"/>
        <v>324</v>
      </c>
      <c r="I83" s="343">
        <f>L118</f>
        <v>660</v>
      </c>
      <c r="J83" s="344">
        <f t="shared" si="1"/>
        <v>462</v>
      </c>
      <c r="K83" s="343">
        <f t="shared" si="2"/>
        <v>321.06836986500218</v>
      </c>
      <c r="L83" s="342">
        <f>K83*60/100</f>
        <v>192.64102191900133</v>
      </c>
      <c r="M83" s="345">
        <f t="shared" si="3"/>
        <v>392.41689650166938</v>
      </c>
      <c r="N83" s="346">
        <f t="shared" si="4"/>
        <v>274.69182755116856</v>
      </c>
      <c r="O83" s="307"/>
      <c r="P83" s="6"/>
    </row>
    <row r="84" spans="1:16" ht="18" hidden="1" customHeight="1" x14ac:dyDescent="0.25">
      <c r="A84" s="4"/>
      <c r="B84" s="300"/>
      <c r="C84" s="347"/>
      <c r="D84" s="348"/>
      <c r="E84" s="315"/>
      <c r="F84" s="316">
        <v>0</v>
      </c>
      <c r="G84" s="317">
        <f>F111</f>
        <v>490</v>
      </c>
      <c r="H84" s="320">
        <f t="shared" si="0"/>
        <v>294</v>
      </c>
      <c r="I84" s="349">
        <f>F119</f>
        <v>600</v>
      </c>
      <c r="J84" s="320">
        <f>I84*70/100</f>
        <v>420</v>
      </c>
      <c r="K84" s="319">
        <f>G84*(640/830)^2</f>
        <v>291.3398170997242</v>
      </c>
      <c r="L84" s="318">
        <f>K84*60/100</f>
        <v>174.8038902598345</v>
      </c>
      <c r="M84" s="321">
        <f>I84*(640/830)^2</f>
        <v>356.74263318333578</v>
      </c>
      <c r="N84" s="322">
        <f>M84*70/100</f>
        <v>249.71984322833504</v>
      </c>
      <c r="O84" s="307"/>
      <c r="P84" s="6"/>
    </row>
    <row r="85" spans="1:16" ht="18" hidden="1" customHeight="1" x14ac:dyDescent="0.25">
      <c r="A85" s="4"/>
      <c r="B85" s="300"/>
      <c r="C85" s="323">
        <v>500</v>
      </c>
      <c r="D85" s="324" t="s">
        <v>99</v>
      </c>
      <c r="E85" s="325"/>
      <c r="F85" s="326">
        <v>15</v>
      </c>
      <c r="G85" s="327">
        <f>H111</f>
        <v>540</v>
      </c>
      <c r="H85" s="330">
        <f t="shared" si="0"/>
        <v>324</v>
      </c>
      <c r="I85" s="350">
        <f>H119</f>
        <v>660</v>
      </c>
      <c r="J85" s="330">
        <f t="shared" si="1"/>
        <v>462</v>
      </c>
      <c r="K85" s="329">
        <f t="shared" si="2"/>
        <v>321.06836986500218</v>
      </c>
      <c r="L85" s="328">
        <f t="shared" ref="L85:L95" si="5">K85*60/100</f>
        <v>192.64102191900133</v>
      </c>
      <c r="M85" s="331">
        <f t="shared" si="3"/>
        <v>392.41689650166938</v>
      </c>
      <c r="N85" s="332">
        <f t="shared" si="4"/>
        <v>274.69182755116856</v>
      </c>
      <c r="O85" s="307"/>
      <c r="P85" s="6"/>
    </row>
    <row r="86" spans="1:16" ht="18" hidden="1" customHeight="1" x14ac:dyDescent="0.25">
      <c r="A86" s="4"/>
      <c r="B86" s="300"/>
      <c r="C86" s="333">
        <f>C85*3.2808</f>
        <v>1640.4</v>
      </c>
      <c r="D86" s="334" t="s">
        <v>1</v>
      </c>
      <c r="E86" s="335"/>
      <c r="F86" s="336">
        <v>30</v>
      </c>
      <c r="G86" s="327">
        <f>J111</f>
        <v>580</v>
      </c>
      <c r="H86" s="330">
        <f t="shared" si="0"/>
        <v>348</v>
      </c>
      <c r="I86" s="350">
        <f>J119</f>
        <v>730</v>
      </c>
      <c r="J86" s="330">
        <f t="shared" si="1"/>
        <v>511</v>
      </c>
      <c r="K86" s="329">
        <f t="shared" si="2"/>
        <v>344.8512120772246</v>
      </c>
      <c r="L86" s="328">
        <f t="shared" si="5"/>
        <v>206.91072724633474</v>
      </c>
      <c r="M86" s="331">
        <f t="shared" si="3"/>
        <v>434.03687037305855</v>
      </c>
      <c r="N86" s="332">
        <f t="shared" si="4"/>
        <v>303.82580926114099</v>
      </c>
      <c r="O86" s="307"/>
      <c r="P86" s="6"/>
    </row>
    <row r="87" spans="1:16" ht="18" hidden="1" customHeight="1" thickBot="1" x14ac:dyDescent="0.3">
      <c r="A87" s="4"/>
      <c r="B87" s="300"/>
      <c r="C87" s="337"/>
      <c r="D87" s="338"/>
      <c r="E87" s="339"/>
      <c r="F87" s="340">
        <v>45</v>
      </c>
      <c r="G87" s="341">
        <f>L111</f>
        <v>630</v>
      </c>
      <c r="H87" s="344">
        <f t="shared" si="0"/>
        <v>378</v>
      </c>
      <c r="I87" s="351">
        <f>L119</f>
        <v>800</v>
      </c>
      <c r="J87" s="344">
        <f t="shared" si="1"/>
        <v>560</v>
      </c>
      <c r="K87" s="343">
        <f t="shared" si="2"/>
        <v>374.57976484250258</v>
      </c>
      <c r="L87" s="342">
        <f t="shared" si="5"/>
        <v>224.74785890550157</v>
      </c>
      <c r="M87" s="345">
        <f t="shared" si="3"/>
        <v>475.65684424444771</v>
      </c>
      <c r="N87" s="346">
        <f t="shared" si="4"/>
        <v>332.95979097111342</v>
      </c>
      <c r="O87" s="307"/>
      <c r="P87" s="6"/>
    </row>
    <row r="88" spans="1:16" ht="18" hidden="1" customHeight="1" x14ac:dyDescent="0.25">
      <c r="A88" s="4"/>
      <c r="B88" s="300"/>
      <c r="C88" s="347"/>
      <c r="D88" s="348"/>
      <c r="E88" s="315"/>
      <c r="F88" s="316">
        <v>0</v>
      </c>
      <c r="G88" s="317">
        <f>F112</f>
        <v>580</v>
      </c>
      <c r="H88" s="320">
        <f t="shared" si="0"/>
        <v>348</v>
      </c>
      <c r="I88" s="349">
        <f>F120</f>
        <v>720</v>
      </c>
      <c r="J88" s="320">
        <f>I88*70/100</f>
        <v>504</v>
      </c>
      <c r="K88" s="319">
        <f>G88*(640/830)^2</f>
        <v>344.8512120772246</v>
      </c>
      <c r="L88" s="318">
        <f t="shared" si="5"/>
        <v>206.91072724633474</v>
      </c>
      <c r="M88" s="321">
        <f>I88*(640/830)^2</f>
        <v>428.09115982000293</v>
      </c>
      <c r="N88" s="322">
        <f>M88*70/100</f>
        <v>299.66381187400208</v>
      </c>
      <c r="O88" s="307"/>
      <c r="P88" s="6"/>
    </row>
    <row r="89" spans="1:16" ht="18" hidden="1" customHeight="1" x14ac:dyDescent="0.25">
      <c r="A89" s="4"/>
      <c r="B89" s="300"/>
      <c r="C89" s="323">
        <v>1000</v>
      </c>
      <c r="D89" s="324" t="s">
        <v>99</v>
      </c>
      <c r="E89" s="325"/>
      <c r="F89" s="326">
        <v>15</v>
      </c>
      <c r="G89" s="327">
        <f>H112</f>
        <v>640</v>
      </c>
      <c r="H89" s="330">
        <f t="shared" si="0"/>
        <v>384</v>
      </c>
      <c r="I89" s="350">
        <f>H120</f>
        <v>800</v>
      </c>
      <c r="J89" s="330">
        <f t="shared" si="1"/>
        <v>560</v>
      </c>
      <c r="K89" s="329">
        <f t="shared" si="2"/>
        <v>380.52547539555815</v>
      </c>
      <c r="L89" s="328">
        <f t="shared" si="5"/>
        <v>228.3152852373349</v>
      </c>
      <c r="M89" s="331">
        <f t="shared" si="3"/>
        <v>475.65684424444771</v>
      </c>
      <c r="N89" s="332">
        <f t="shared" si="4"/>
        <v>332.95979097111342</v>
      </c>
      <c r="O89" s="307"/>
      <c r="P89" s="6"/>
    </row>
    <row r="90" spans="1:16" ht="18" hidden="1" customHeight="1" x14ac:dyDescent="0.25">
      <c r="A90" s="4"/>
      <c r="B90" s="300"/>
      <c r="C90" s="333">
        <f>C89*3.2808</f>
        <v>3280.8</v>
      </c>
      <c r="D90" s="334" t="s">
        <v>1</v>
      </c>
      <c r="E90" s="325"/>
      <c r="F90" s="326">
        <v>15</v>
      </c>
      <c r="G90" s="327">
        <f>J112</f>
        <v>700</v>
      </c>
      <c r="H90" s="330">
        <f t="shared" si="0"/>
        <v>420</v>
      </c>
      <c r="I90" s="350">
        <f>J120</f>
        <v>870</v>
      </c>
      <c r="J90" s="330">
        <f t="shared" si="1"/>
        <v>609</v>
      </c>
      <c r="K90" s="329">
        <f t="shared" si="2"/>
        <v>416.19973871389175</v>
      </c>
      <c r="L90" s="328">
        <f t="shared" si="5"/>
        <v>249.71984322833504</v>
      </c>
      <c r="M90" s="331">
        <f t="shared" si="3"/>
        <v>517.27681811583693</v>
      </c>
      <c r="N90" s="332">
        <f t="shared" si="4"/>
        <v>362.09377268108585</v>
      </c>
      <c r="O90" s="307"/>
      <c r="P90" s="6"/>
    </row>
    <row r="91" spans="1:16" ht="18" hidden="1" customHeight="1" thickBot="1" x14ac:dyDescent="0.3">
      <c r="A91" s="4"/>
      <c r="B91" s="300"/>
      <c r="C91" s="337"/>
      <c r="D91" s="338"/>
      <c r="E91" s="339"/>
      <c r="F91" s="340">
        <v>45</v>
      </c>
      <c r="G91" s="341">
        <f>L112</f>
        <v>750</v>
      </c>
      <c r="H91" s="344">
        <f t="shared" si="0"/>
        <v>450</v>
      </c>
      <c r="I91" s="351">
        <f>L120</f>
        <v>960</v>
      </c>
      <c r="J91" s="344">
        <f t="shared" si="1"/>
        <v>672</v>
      </c>
      <c r="K91" s="343">
        <f t="shared" si="2"/>
        <v>445.92829147916973</v>
      </c>
      <c r="L91" s="342">
        <f t="shared" si="5"/>
        <v>267.55697488750184</v>
      </c>
      <c r="M91" s="345">
        <f t="shared" si="3"/>
        <v>570.78821309333728</v>
      </c>
      <c r="N91" s="346">
        <f t="shared" si="4"/>
        <v>399.5517491653361</v>
      </c>
      <c r="O91" s="307"/>
      <c r="P91" s="6"/>
    </row>
    <row r="92" spans="1:16" ht="18" hidden="1" customHeight="1" x14ac:dyDescent="0.25">
      <c r="A92" s="4"/>
      <c r="B92" s="300"/>
      <c r="C92" s="347"/>
      <c r="D92" s="348"/>
      <c r="E92" s="315"/>
      <c r="F92" s="316">
        <v>0</v>
      </c>
      <c r="G92" s="317">
        <f>F113</f>
        <v>680</v>
      </c>
      <c r="H92" s="320">
        <f t="shared" si="0"/>
        <v>408</v>
      </c>
      <c r="I92" s="349">
        <f>F121</f>
        <v>880</v>
      </c>
      <c r="J92" s="320">
        <f>I92*70/100</f>
        <v>616</v>
      </c>
      <c r="K92" s="319">
        <f>G92*(640/830)^2</f>
        <v>404.30831760778057</v>
      </c>
      <c r="L92" s="318">
        <f t="shared" si="5"/>
        <v>242.58499056466835</v>
      </c>
      <c r="M92" s="321">
        <f>I92*(640/830)^2</f>
        <v>523.22252866889244</v>
      </c>
      <c r="N92" s="322">
        <f>M92*70/100</f>
        <v>366.25577006822476</v>
      </c>
      <c r="O92" s="307"/>
      <c r="P92" s="6"/>
    </row>
    <row r="93" spans="1:16" ht="18" hidden="1" customHeight="1" x14ac:dyDescent="0.25">
      <c r="A93" s="4"/>
      <c r="B93" s="300"/>
      <c r="C93" s="323">
        <v>1500</v>
      </c>
      <c r="D93" s="324" t="s">
        <v>99</v>
      </c>
      <c r="E93" s="325"/>
      <c r="F93" s="326">
        <v>15</v>
      </c>
      <c r="G93" s="327">
        <f>H113</f>
        <v>740</v>
      </c>
      <c r="H93" s="330">
        <f t="shared" si="0"/>
        <v>444</v>
      </c>
      <c r="I93" s="350">
        <f>H121</f>
        <v>950</v>
      </c>
      <c r="J93" s="330">
        <f t="shared" si="1"/>
        <v>665</v>
      </c>
      <c r="K93" s="329">
        <f t="shared" si="2"/>
        <v>439.98258092611417</v>
      </c>
      <c r="L93" s="328">
        <f t="shared" si="5"/>
        <v>263.98954855566853</v>
      </c>
      <c r="M93" s="331">
        <f t="shared" si="3"/>
        <v>564.84250254028166</v>
      </c>
      <c r="N93" s="332">
        <f t="shared" si="4"/>
        <v>395.38975177819719</v>
      </c>
      <c r="O93" s="307"/>
      <c r="P93" s="6"/>
    </row>
    <row r="94" spans="1:16" ht="18" hidden="1" customHeight="1" x14ac:dyDescent="0.25">
      <c r="A94" s="4"/>
      <c r="B94" s="300"/>
      <c r="C94" s="333">
        <f>C93*3.2808+0.5</f>
        <v>4921.7</v>
      </c>
      <c r="D94" s="334" t="s">
        <v>1</v>
      </c>
      <c r="E94" s="325"/>
      <c r="F94" s="326">
        <v>15</v>
      </c>
      <c r="G94" s="327">
        <f>J113</f>
        <v>800</v>
      </c>
      <c r="H94" s="330">
        <f t="shared" si="0"/>
        <v>480</v>
      </c>
      <c r="I94" s="350">
        <f>J121</f>
        <v>1020</v>
      </c>
      <c r="J94" s="330">
        <f t="shared" si="1"/>
        <v>714</v>
      </c>
      <c r="K94" s="329">
        <f t="shared" si="2"/>
        <v>475.65684424444771</v>
      </c>
      <c r="L94" s="328">
        <f t="shared" si="5"/>
        <v>285.39410654666864</v>
      </c>
      <c r="M94" s="331">
        <f t="shared" si="3"/>
        <v>606.46247641167088</v>
      </c>
      <c r="N94" s="332">
        <f t="shared" si="4"/>
        <v>424.52373348816963</v>
      </c>
      <c r="O94" s="307"/>
      <c r="P94" s="6"/>
    </row>
    <row r="95" spans="1:16" ht="18" hidden="1" customHeight="1" thickBot="1" x14ac:dyDescent="0.3">
      <c r="A95" s="4"/>
      <c r="B95" s="300"/>
      <c r="C95" s="352"/>
      <c r="D95" s="338"/>
      <c r="E95" s="339"/>
      <c r="F95" s="340">
        <v>45</v>
      </c>
      <c r="G95" s="341">
        <f>L113</f>
        <v>880</v>
      </c>
      <c r="H95" s="344">
        <f t="shared" si="0"/>
        <v>528</v>
      </c>
      <c r="I95" s="351">
        <f>L121</f>
        <v>1160</v>
      </c>
      <c r="J95" s="344">
        <f t="shared" si="1"/>
        <v>812</v>
      </c>
      <c r="K95" s="343">
        <f t="shared" si="2"/>
        <v>523.22252866889244</v>
      </c>
      <c r="L95" s="342">
        <f t="shared" si="5"/>
        <v>313.93351720133546</v>
      </c>
      <c r="M95" s="345">
        <f t="shared" si="3"/>
        <v>689.7024241544492</v>
      </c>
      <c r="N95" s="346">
        <f t="shared" si="4"/>
        <v>482.79169690811449</v>
      </c>
      <c r="O95" s="307"/>
      <c r="P95" s="6"/>
    </row>
    <row r="96" spans="1:16" ht="17.100000000000001" hidden="1" customHeight="1" x14ac:dyDescent="0.25">
      <c r="A96" s="4"/>
      <c r="B96" s="300"/>
      <c r="C96" s="353" t="s">
        <v>100</v>
      </c>
      <c r="D96" s="353"/>
      <c r="E96" s="353"/>
      <c r="F96" s="354"/>
      <c r="G96" s="355"/>
      <c r="H96" s="356"/>
      <c r="I96" s="355"/>
      <c r="J96" s="356"/>
      <c r="K96" s="355"/>
      <c r="L96" s="356"/>
      <c r="M96" s="355"/>
      <c r="N96" s="356"/>
      <c r="O96" s="307"/>
      <c r="P96" s="6"/>
    </row>
    <row r="97" spans="1:19" ht="12.95" hidden="1" customHeight="1" x14ac:dyDescent="0.25">
      <c r="A97" s="4"/>
      <c r="B97" s="300"/>
      <c r="C97" s="357" t="s">
        <v>101</v>
      </c>
      <c r="D97" s="357"/>
      <c r="E97" s="357"/>
      <c r="F97" s="354"/>
      <c r="G97" s="355"/>
      <c r="H97" s="356"/>
      <c r="I97" s="355"/>
      <c r="J97" s="356"/>
      <c r="K97" s="355"/>
      <c r="L97" s="356"/>
      <c r="M97" s="355"/>
      <c r="N97" s="356"/>
      <c r="O97" s="307"/>
      <c r="P97" s="6"/>
    </row>
    <row r="98" spans="1:19" ht="12.95" hidden="1" customHeight="1" x14ac:dyDescent="0.25">
      <c r="A98" s="4"/>
      <c r="B98" s="300"/>
      <c r="C98" s="358" t="s">
        <v>102</v>
      </c>
      <c r="D98" s="358"/>
      <c r="E98" s="358"/>
      <c r="F98" s="359"/>
      <c r="G98" s="360">
        <v>10</v>
      </c>
      <c r="H98" s="361" t="s">
        <v>103</v>
      </c>
      <c r="I98" s="362"/>
      <c r="J98" s="363">
        <v>0.85</v>
      </c>
      <c r="K98" s="364" t="s">
        <v>104</v>
      </c>
      <c r="L98" s="365"/>
      <c r="M98" s="364"/>
      <c r="N98" s="365"/>
      <c r="O98" s="307"/>
      <c r="P98" s="6"/>
    </row>
    <row r="99" spans="1:19" ht="12.95" hidden="1" customHeight="1" x14ac:dyDescent="0.25">
      <c r="A99" s="4"/>
      <c r="B99" s="300"/>
      <c r="C99" s="358" t="s">
        <v>105</v>
      </c>
      <c r="D99" s="358"/>
      <c r="E99" s="358"/>
      <c r="F99" s="359"/>
      <c r="G99" s="360">
        <v>20</v>
      </c>
      <c r="H99" s="361" t="s">
        <v>103</v>
      </c>
      <c r="I99" s="362"/>
      <c r="J99" s="363">
        <v>0.67</v>
      </c>
      <c r="K99" s="364" t="s">
        <v>106</v>
      </c>
      <c r="L99" s="365"/>
      <c r="M99" s="364"/>
      <c r="N99" s="365"/>
      <c r="O99" s="307"/>
      <c r="P99" s="6"/>
    </row>
    <row r="100" spans="1:19" ht="20.100000000000001" hidden="1" customHeight="1" x14ac:dyDescent="0.25">
      <c r="A100" s="4"/>
      <c r="B100" s="366"/>
      <c r="C100" s="367" t="s">
        <v>105</v>
      </c>
      <c r="D100" s="367"/>
      <c r="E100" s="367"/>
      <c r="F100" s="368"/>
      <c r="G100" s="369">
        <v>30</v>
      </c>
      <c r="H100" s="370" t="s">
        <v>103</v>
      </c>
      <c r="I100" s="371"/>
      <c r="J100" s="372">
        <v>0.56000000000000005</v>
      </c>
      <c r="K100" s="373" t="s">
        <v>107</v>
      </c>
      <c r="L100" s="374"/>
      <c r="M100" s="373"/>
      <c r="N100" s="374"/>
      <c r="O100" s="375"/>
      <c r="P100" s="6"/>
    </row>
    <row r="101" spans="1:19" ht="15" hidden="1" customHeight="1" x14ac:dyDescent="0.25">
      <c r="A101" s="4"/>
      <c r="B101" s="4"/>
      <c r="C101" s="376"/>
      <c r="D101" s="376"/>
      <c r="E101" s="377"/>
      <c r="F101" s="378"/>
      <c r="G101" s="379"/>
      <c r="H101" s="380"/>
      <c r="I101" s="379"/>
      <c r="J101" s="380"/>
      <c r="K101" s="379"/>
      <c r="L101" s="380"/>
      <c r="M101" s="379"/>
      <c r="N101" s="380"/>
      <c r="O101" s="4"/>
      <c r="P101" s="6"/>
    </row>
    <row r="102" spans="1:19" ht="30" hidden="1" customHeight="1" x14ac:dyDescent="0.25">
      <c r="A102" s="550"/>
      <c r="B102" s="289" t="s">
        <v>108</v>
      </c>
      <c r="C102" s="290"/>
      <c r="D102" s="290"/>
      <c r="E102" s="289"/>
      <c r="F102" s="291"/>
      <c r="G102" s="291"/>
      <c r="H102" s="291"/>
      <c r="I102" s="291"/>
      <c r="J102" s="291"/>
      <c r="K102" s="291"/>
      <c r="L102" s="291"/>
      <c r="M102" s="291"/>
      <c r="N102" s="291"/>
      <c r="O102" s="3"/>
      <c r="P102" s="6"/>
    </row>
    <row r="103" spans="1:19" ht="24.95" hidden="1" customHeight="1" x14ac:dyDescent="0.25">
      <c r="A103" s="4"/>
      <c r="B103" s="381"/>
      <c r="C103" s="382" t="s">
        <v>96</v>
      </c>
      <c r="D103" s="382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4"/>
      <c r="P103" s="6"/>
    </row>
    <row r="104" spans="1:19" ht="30" hidden="1" customHeight="1" thickBot="1" x14ac:dyDescent="0.3">
      <c r="A104" s="4"/>
      <c r="B104" s="385"/>
      <c r="C104" s="386" t="s">
        <v>109</v>
      </c>
      <c r="D104" s="387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9"/>
      <c r="P104" s="6"/>
    </row>
    <row r="105" spans="1:19" ht="39.950000000000003" hidden="1" customHeight="1" thickBot="1" x14ac:dyDescent="0.3">
      <c r="A105" s="4"/>
      <c r="B105" s="390"/>
      <c r="C105" s="362"/>
      <c r="D105" s="711" t="s">
        <v>110</v>
      </c>
      <c r="E105" s="712"/>
      <c r="F105" s="391" t="s">
        <v>111</v>
      </c>
      <c r="G105" s="392"/>
      <c r="H105" s="393" t="s">
        <v>112</v>
      </c>
      <c r="I105" s="394"/>
      <c r="J105" s="392" t="s">
        <v>113</v>
      </c>
      <c r="K105" s="392"/>
      <c r="L105" s="393" t="s">
        <v>114</v>
      </c>
      <c r="M105" s="395"/>
      <c r="N105" s="396"/>
      <c r="O105" s="397"/>
      <c r="P105" s="6"/>
    </row>
    <row r="106" spans="1:19" ht="15" hidden="1" customHeight="1" x14ac:dyDescent="0.25">
      <c r="A106" s="4"/>
      <c r="B106" s="398"/>
      <c r="C106" s="399"/>
      <c r="D106" s="399"/>
      <c r="E106" s="400"/>
      <c r="F106" s="400"/>
      <c r="G106" s="401"/>
      <c r="H106" s="401"/>
      <c r="I106" s="402"/>
      <c r="J106" s="402"/>
      <c r="K106" s="401"/>
      <c r="L106" s="401"/>
      <c r="M106" s="401"/>
      <c r="N106" s="401"/>
      <c r="O106" s="403"/>
      <c r="P106" s="6"/>
    </row>
    <row r="107" spans="1:19" ht="15" hidden="1" customHeight="1" x14ac:dyDescent="0.25">
      <c r="A107" s="4"/>
      <c r="B107" s="398"/>
      <c r="C107" s="399"/>
      <c r="D107" s="404" t="s">
        <v>115</v>
      </c>
      <c r="E107" s="404"/>
      <c r="F107" s="405"/>
      <c r="G107" s="404"/>
      <c r="H107" s="404"/>
      <c r="I107" s="405"/>
      <c r="J107" s="405"/>
      <c r="K107" s="404"/>
      <c r="L107" s="404"/>
      <c r="M107" s="406"/>
      <c r="N107" s="407"/>
      <c r="O107" s="408"/>
      <c r="P107" s="6"/>
    </row>
    <row r="108" spans="1:19" ht="15" hidden="1" customHeight="1" x14ac:dyDescent="0.25">
      <c r="A108" s="4"/>
      <c r="B108" s="398"/>
      <c r="C108" s="409"/>
      <c r="D108" s="410" t="s">
        <v>116</v>
      </c>
      <c r="E108" s="400"/>
      <c r="F108" s="400"/>
      <c r="G108" s="404"/>
      <c r="H108" s="411"/>
      <c r="I108" s="400"/>
      <c r="J108" s="410"/>
      <c r="K108" s="404"/>
      <c r="L108" s="411"/>
      <c r="M108" s="404"/>
      <c r="N108" s="412"/>
      <c r="O108" s="408"/>
      <c r="P108" s="6"/>
    </row>
    <row r="109" spans="1:19" ht="5.0999999999999996" hidden="1" customHeight="1" thickBot="1" x14ac:dyDescent="0.3">
      <c r="A109" s="4"/>
      <c r="B109" s="398"/>
      <c r="C109" s="409"/>
      <c r="D109" s="409"/>
      <c r="E109" s="413"/>
      <c r="F109" s="413"/>
      <c r="G109" s="414"/>
      <c r="H109" s="415"/>
      <c r="I109" s="400"/>
      <c r="J109" s="410"/>
      <c r="K109" s="414"/>
      <c r="L109" s="415"/>
      <c r="M109" s="414"/>
      <c r="N109" s="412"/>
      <c r="O109" s="403"/>
      <c r="P109" s="6"/>
    </row>
    <row r="110" spans="1:19" ht="18" hidden="1" customHeight="1" x14ac:dyDescent="0.25">
      <c r="A110" s="4"/>
      <c r="B110" s="398"/>
      <c r="C110" s="416"/>
      <c r="D110" s="417">
        <v>0</v>
      </c>
      <c r="E110" s="418">
        <f>D110*3.2808</f>
        <v>0</v>
      </c>
      <c r="F110" s="419">
        <v>440</v>
      </c>
      <c r="G110" s="420"/>
      <c r="H110" s="421">
        <v>470</v>
      </c>
      <c r="I110" s="420"/>
      <c r="J110" s="421">
        <v>500</v>
      </c>
      <c r="K110" s="422"/>
      <c r="L110" s="420">
        <v>540</v>
      </c>
      <c r="M110" s="423"/>
      <c r="N110" s="424"/>
      <c r="O110" s="403"/>
      <c r="P110" s="6"/>
    </row>
    <row r="111" spans="1:19" ht="18" hidden="1" customHeight="1" x14ac:dyDescent="0.25">
      <c r="A111" s="4"/>
      <c r="B111" s="398"/>
      <c r="C111" s="416"/>
      <c r="D111" s="425">
        <v>500</v>
      </c>
      <c r="E111" s="426">
        <f>D111*3.2808</f>
        <v>1640.4</v>
      </c>
      <c r="F111" s="427">
        <v>490</v>
      </c>
      <c r="G111" s="404"/>
      <c r="H111" s="428">
        <v>540</v>
      </c>
      <c r="I111" s="404"/>
      <c r="J111" s="428">
        <v>580</v>
      </c>
      <c r="K111" s="429"/>
      <c r="L111" s="404">
        <v>630</v>
      </c>
      <c r="M111" s="430"/>
      <c r="N111" s="424"/>
      <c r="O111" s="403"/>
      <c r="P111" s="6"/>
      <c r="S111" s="431"/>
    </row>
    <row r="112" spans="1:19" ht="18" hidden="1" customHeight="1" x14ac:dyDescent="0.25">
      <c r="A112" s="4"/>
      <c r="B112" s="398"/>
      <c r="C112" s="416"/>
      <c r="D112" s="425">
        <v>1000</v>
      </c>
      <c r="E112" s="426">
        <f>D112*3.2808</f>
        <v>3280.8</v>
      </c>
      <c r="F112" s="427">
        <v>580</v>
      </c>
      <c r="G112" s="404"/>
      <c r="H112" s="428">
        <v>640</v>
      </c>
      <c r="I112" s="404"/>
      <c r="J112" s="428">
        <v>700</v>
      </c>
      <c r="K112" s="429"/>
      <c r="L112" s="404">
        <v>750</v>
      </c>
      <c r="M112" s="430"/>
      <c r="N112" s="424"/>
      <c r="O112" s="403"/>
      <c r="P112" s="6"/>
    </row>
    <row r="113" spans="1:19" ht="18" hidden="1" customHeight="1" thickBot="1" x14ac:dyDescent="0.3">
      <c r="A113" s="4"/>
      <c r="B113" s="398"/>
      <c r="C113" s="416"/>
      <c r="D113" s="432">
        <v>1500</v>
      </c>
      <c r="E113" s="433">
        <f>D113*3.2808+0.5</f>
        <v>4921.7</v>
      </c>
      <c r="F113" s="434">
        <v>680</v>
      </c>
      <c r="G113" s="435"/>
      <c r="H113" s="436">
        <v>740</v>
      </c>
      <c r="I113" s="435"/>
      <c r="J113" s="436">
        <v>800</v>
      </c>
      <c r="K113" s="437"/>
      <c r="L113" s="435">
        <v>880</v>
      </c>
      <c r="M113" s="438"/>
      <c r="N113" s="424"/>
      <c r="O113" s="403"/>
      <c r="P113" s="6"/>
    </row>
    <row r="114" spans="1:19" ht="15" hidden="1" customHeight="1" x14ac:dyDescent="0.25">
      <c r="A114" s="4"/>
      <c r="B114" s="398"/>
      <c r="C114" s="416"/>
      <c r="D114" s="399"/>
      <c r="E114" s="400"/>
      <c r="F114" s="400"/>
      <c r="G114" s="401"/>
      <c r="H114" s="401"/>
      <c r="I114" s="402"/>
      <c r="J114" s="402"/>
      <c r="K114" s="401"/>
      <c r="L114" s="401"/>
      <c r="M114" s="401"/>
      <c r="N114" s="424"/>
      <c r="O114" s="403"/>
      <c r="P114" s="6"/>
      <c r="S114" s="431"/>
    </row>
    <row r="115" spans="1:19" ht="15" hidden="1" customHeight="1" x14ac:dyDescent="0.25">
      <c r="A115" s="4"/>
      <c r="B115" s="398"/>
      <c r="C115" s="399"/>
      <c r="D115" s="404" t="s">
        <v>117</v>
      </c>
      <c r="E115" s="404"/>
      <c r="F115" s="405"/>
      <c r="G115" s="404"/>
      <c r="H115" s="404"/>
      <c r="I115" s="405"/>
      <c r="J115" s="405"/>
      <c r="K115" s="404"/>
      <c r="L115" s="404"/>
      <c r="M115" s="406"/>
      <c r="N115" s="407"/>
      <c r="O115" s="408"/>
      <c r="P115" s="6"/>
    </row>
    <row r="116" spans="1:19" ht="15" hidden="1" customHeight="1" x14ac:dyDescent="0.25">
      <c r="A116" s="4"/>
      <c r="B116" s="398"/>
      <c r="C116" s="409"/>
      <c r="D116" s="410" t="s">
        <v>118</v>
      </c>
      <c r="E116" s="400"/>
      <c r="F116" s="400"/>
      <c r="G116" s="404"/>
      <c r="H116" s="411"/>
      <c r="I116" s="400"/>
      <c r="J116" s="410"/>
      <c r="K116" s="404"/>
      <c r="L116" s="411"/>
      <c r="M116" s="404"/>
      <c r="N116" s="412"/>
      <c r="O116" s="408"/>
      <c r="P116" s="6"/>
    </row>
    <row r="117" spans="1:19" ht="5.0999999999999996" hidden="1" customHeight="1" thickBot="1" x14ac:dyDescent="0.3">
      <c r="A117" s="4"/>
      <c r="B117" s="398"/>
      <c r="C117" s="416"/>
      <c r="D117" s="409"/>
      <c r="E117" s="413"/>
      <c r="F117" s="413"/>
      <c r="G117" s="439"/>
      <c r="H117" s="412"/>
      <c r="I117" s="402"/>
      <c r="J117" s="440"/>
      <c r="K117" s="439"/>
      <c r="L117" s="412"/>
      <c r="M117" s="439"/>
      <c r="N117" s="424"/>
      <c r="O117" s="403"/>
      <c r="P117" s="6"/>
    </row>
    <row r="118" spans="1:19" ht="18" hidden="1" customHeight="1" x14ac:dyDescent="0.25">
      <c r="A118" s="4"/>
      <c r="B118" s="398"/>
      <c r="C118" s="416"/>
      <c r="D118" s="417">
        <v>0</v>
      </c>
      <c r="E118" s="418">
        <f>D118*3.2808</f>
        <v>0</v>
      </c>
      <c r="F118" s="419">
        <v>520</v>
      </c>
      <c r="G118" s="420"/>
      <c r="H118" s="421">
        <v>560</v>
      </c>
      <c r="I118" s="420"/>
      <c r="J118" s="421">
        <v>600</v>
      </c>
      <c r="K118" s="422"/>
      <c r="L118" s="420">
        <v>660</v>
      </c>
      <c r="M118" s="423"/>
      <c r="N118" s="424"/>
      <c r="O118" s="403"/>
      <c r="P118" s="6"/>
    </row>
    <row r="119" spans="1:19" ht="18" hidden="1" customHeight="1" x14ac:dyDescent="0.25">
      <c r="A119" s="4"/>
      <c r="B119" s="398"/>
      <c r="C119" s="416"/>
      <c r="D119" s="425">
        <v>500</v>
      </c>
      <c r="E119" s="426">
        <f>D119*3.2808</f>
        <v>1640.4</v>
      </c>
      <c r="F119" s="427">
        <v>600</v>
      </c>
      <c r="G119" s="404"/>
      <c r="H119" s="428">
        <v>660</v>
      </c>
      <c r="I119" s="404"/>
      <c r="J119" s="428">
        <v>730</v>
      </c>
      <c r="K119" s="429"/>
      <c r="L119" s="404">
        <v>800</v>
      </c>
      <c r="M119" s="430"/>
      <c r="N119" s="424"/>
      <c r="O119" s="403"/>
      <c r="P119" s="6"/>
    </row>
    <row r="120" spans="1:19" ht="18" hidden="1" customHeight="1" x14ac:dyDescent="0.25">
      <c r="A120" s="4"/>
      <c r="B120" s="398"/>
      <c r="C120" s="416"/>
      <c r="D120" s="425">
        <v>1000</v>
      </c>
      <c r="E120" s="426">
        <f>D120*3.2808</f>
        <v>3280.8</v>
      </c>
      <c r="F120" s="427">
        <v>720</v>
      </c>
      <c r="G120" s="404"/>
      <c r="H120" s="428">
        <v>800</v>
      </c>
      <c r="I120" s="404"/>
      <c r="J120" s="428">
        <v>870</v>
      </c>
      <c r="K120" s="429"/>
      <c r="L120" s="404">
        <v>960</v>
      </c>
      <c r="M120" s="430"/>
      <c r="N120" s="424"/>
      <c r="O120" s="403"/>
      <c r="P120" s="6"/>
    </row>
    <row r="121" spans="1:19" ht="18" hidden="1" customHeight="1" thickBot="1" x14ac:dyDescent="0.3">
      <c r="A121" s="4"/>
      <c r="B121" s="398"/>
      <c r="C121" s="416"/>
      <c r="D121" s="432">
        <v>1500</v>
      </c>
      <c r="E121" s="433">
        <f>D121*3.2808+0.5</f>
        <v>4921.7</v>
      </c>
      <c r="F121" s="434">
        <v>880</v>
      </c>
      <c r="G121" s="435"/>
      <c r="H121" s="436">
        <v>950</v>
      </c>
      <c r="I121" s="435"/>
      <c r="J121" s="436">
        <v>1020</v>
      </c>
      <c r="K121" s="437"/>
      <c r="L121" s="435">
        <v>1160</v>
      </c>
      <c r="M121" s="438"/>
      <c r="N121" s="424"/>
      <c r="O121" s="403"/>
      <c r="P121" s="6"/>
      <c r="S121" s="431"/>
    </row>
    <row r="122" spans="1:19" ht="15" hidden="1" customHeight="1" x14ac:dyDescent="0.25">
      <c r="A122" s="4"/>
      <c r="B122" s="441"/>
      <c r="C122" s="442"/>
      <c r="D122" s="442"/>
      <c r="E122" s="443"/>
      <c r="F122" s="444"/>
      <c r="G122" s="445"/>
      <c r="H122" s="446"/>
      <c r="I122" s="445"/>
      <c r="J122" s="446"/>
      <c r="K122" s="445"/>
      <c r="L122" s="446"/>
      <c r="M122" s="447"/>
      <c r="N122" s="424"/>
      <c r="O122" s="408"/>
      <c r="P122" s="6"/>
    </row>
    <row r="123" spans="1:19" ht="24.95" hidden="1" customHeight="1" x14ac:dyDescent="0.25">
      <c r="A123" s="4"/>
      <c r="B123" s="448"/>
      <c r="C123" s="358"/>
      <c r="D123" s="447" t="s">
        <v>119</v>
      </c>
      <c r="E123" s="447"/>
      <c r="F123" s="449"/>
      <c r="G123" s="450"/>
      <c r="H123" s="451"/>
      <c r="I123" s="447"/>
      <c r="J123" s="447"/>
      <c r="K123" s="447"/>
      <c r="L123" s="451"/>
      <c r="M123" s="447"/>
      <c r="N123" s="452"/>
      <c r="O123" s="397"/>
      <c r="P123" s="6"/>
    </row>
    <row r="124" spans="1:19" ht="9.9499999999999993" hidden="1" customHeight="1" x14ac:dyDescent="0.25">
      <c r="A124" s="4"/>
      <c r="B124" s="453"/>
      <c r="C124" s="367"/>
      <c r="D124" s="367"/>
      <c r="E124" s="367"/>
      <c r="F124" s="454"/>
      <c r="G124" s="455"/>
      <c r="H124" s="456"/>
      <c r="I124" s="367"/>
      <c r="J124" s="367"/>
      <c r="K124" s="367"/>
      <c r="L124" s="456"/>
      <c r="M124" s="367"/>
      <c r="N124" s="456"/>
      <c r="O124" s="457"/>
      <c r="P124" s="6"/>
    </row>
    <row r="125" spans="1:19" hidden="1" x14ac:dyDescent="0.25">
      <c r="A125" s="4"/>
      <c r="B125" s="4"/>
      <c r="C125" s="376"/>
      <c r="D125" s="376"/>
      <c r="E125" s="377"/>
      <c r="F125" s="378"/>
      <c r="G125" s="379"/>
      <c r="H125" s="380"/>
      <c r="I125" s="379"/>
      <c r="J125" s="380"/>
      <c r="K125" s="379"/>
      <c r="L125" s="380"/>
      <c r="M125" s="379"/>
      <c r="N125" s="380"/>
      <c r="O125" s="4"/>
      <c r="P125" s="6"/>
    </row>
    <row r="126" spans="1:19" ht="26.25" hidden="1" x14ac:dyDescent="0.25">
      <c r="A126" s="4"/>
      <c r="B126" s="212" t="s">
        <v>120</v>
      </c>
      <c r="C126" s="458"/>
      <c r="D126" s="458"/>
      <c r="E126" s="458"/>
      <c r="F126" s="458"/>
      <c r="G126" s="458"/>
      <c r="H126" s="458"/>
      <c r="I126" s="458"/>
      <c r="J126" s="458"/>
      <c r="K126" s="458"/>
      <c r="L126" s="458"/>
      <c r="M126" s="458"/>
      <c r="N126" s="458"/>
      <c r="O126" s="6"/>
      <c r="P126" s="6"/>
    </row>
    <row r="127" spans="1:19" ht="15" hidden="1" customHeight="1" thickBot="1" x14ac:dyDescent="0.3">
      <c r="A127" s="4"/>
      <c r="B127" s="459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599"/>
      <c r="P127" s="6"/>
    </row>
    <row r="128" spans="1:19" ht="15.75" hidden="1" thickBot="1" x14ac:dyDescent="0.3">
      <c r="A128" s="4"/>
      <c r="B128" s="218"/>
      <c r="C128" s="600"/>
      <c r="D128" s="600"/>
      <c r="E128" s="601"/>
      <c r="F128" s="460" t="s">
        <v>78</v>
      </c>
      <c r="G128" s="461"/>
      <c r="H128" s="461"/>
      <c r="I128" s="461"/>
      <c r="J128" s="460" t="s">
        <v>121</v>
      </c>
      <c r="K128" s="461"/>
      <c r="L128" s="461"/>
      <c r="M128" s="462"/>
      <c r="N128" s="6"/>
      <c r="O128" s="567"/>
      <c r="P128" s="6"/>
    </row>
    <row r="129" spans="1:16" ht="15.75" hidden="1" thickBot="1" x14ac:dyDescent="0.3">
      <c r="A129" s="4"/>
      <c r="B129" s="218"/>
      <c r="C129" s="602"/>
      <c r="D129" s="602"/>
      <c r="E129" s="603"/>
      <c r="F129" s="236" t="s">
        <v>122</v>
      </c>
      <c r="G129" s="237"/>
      <c r="H129" s="236"/>
      <c r="I129" s="237"/>
      <c r="J129" s="236" t="s">
        <v>122</v>
      </c>
      <c r="K129" s="238"/>
      <c r="L129" s="237"/>
      <c r="M129" s="238"/>
      <c r="N129" s="6"/>
      <c r="O129" s="567"/>
      <c r="P129" s="6"/>
    </row>
    <row r="130" spans="1:16" ht="15.75" hidden="1" thickBot="1" x14ac:dyDescent="0.3">
      <c r="A130" s="4"/>
      <c r="B130" s="218"/>
      <c r="C130" s="602"/>
      <c r="D130" s="602"/>
      <c r="E130" s="603"/>
      <c r="F130" s="231" t="s">
        <v>123</v>
      </c>
      <c r="G130" s="230"/>
      <c r="H130" s="231" t="s">
        <v>124</v>
      </c>
      <c r="I130" s="230"/>
      <c r="J130" s="231" t="s">
        <v>123</v>
      </c>
      <c r="K130" s="230"/>
      <c r="L130" s="236" t="s">
        <v>124</v>
      </c>
      <c r="M130" s="238"/>
      <c r="N130" s="6"/>
      <c r="O130" s="567"/>
      <c r="P130" s="6"/>
    </row>
    <row r="131" spans="1:16" ht="15.75" hidden="1" thickBot="1" x14ac:dyDescent="0.3">
      <c r="A131" s="4"/>
      <c r="B131" s="218"/>
      <c r="C131" s="604"/>
      <c r="D131" s="604"/>
      <c r="E131" s="605"/>
      <c r="F131" s="463">
        <f>H131+300</f>
        <v>550</v>
      </c>
      <c r="G131" s="464"/>
      <c r="H131" s="463">
        <f>J162</f>
        <v>250</v>
      </c>
      <c r="I131" s="464"/>
      <c r="J131" s="463">
        <f>L131+300</f>
        <v>510</v>
      </c>
      <c r="K131" s="464"/>
      <c r="L131" s="463">
        <f>L162</f>
        <v>210</v>
      </c>
      <c r="M131" s="464"/>
      <c r="N131" s="6"/>
      <c r="O131" s="567"/>
      <c r="P131" s="6"/>
    </row>
    <row r="132" spans="1:16" hidden="1" x14ac:dyDescent="0.25">
      <c r="A132" s="4"/>
      <c r="B132" s="218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567"/>
      <c r="P132" s="6"/>
    </row>
    <row r="133" spans="1:16" ht="20.100000000000001" hidden="1" customHeight="1" thickBot="1" x14ac:dyDescent="0.3">
      <c r="A133" s="4"/>
      <c r="B133" s="218"/>
      <c r="C133" s="564" t="s">
        <v>83</v>
      </c>
      <c r="D133" s="564"/>
      <c r="E133" s="565"/>
      <c r="F133" s="548">
        <f>E11</f>
        <v>7</v>
      </c>
      <c r="G133" s="566" t="s">
        <v>3</v>
      </c>
      <c r="H133" s="581" t="s">
        <v>84</v>
      </c>
      <c r="I133" s="582" t="s">
        <v>85</v>
      </c>
      <c r="J133" s="575"/>
      <c r="K133" s="576"/>
      <c r="L133" s="576"/>
      <c r="M133" s="576"/>
      <c r="N133" s="576"/>
      <c r="O133" s="567"/>
      <c r="P133" s="6"/>
    </row>
    <row r="134" spans="1:16" ht="17.25" hidden="1" thickTop="1" thickBot="1" x14ac:dyDescent="0.3">
      <c r="A134" s="4"/>
      <c r="B134" s="218"/>
      <c r="C134" s="564"/>
      <c r="D134" s="564"/>
      <c r="E134" s="565"/>
      <c r="F134" s="565"/>
      <c r="G134" s="566"/>
      <c r="H134" s="583"/>
      <c r="I134" s="575"/>
      <c r="J134" s="575"/>
      <c r="K134" s="576"/>
      <c r="L134" s="576"/>
      <c r="M134" s="576"/>
      <c r="N134" s="576"/>
      <c r="O134" s="567"/>
      <c r="P134" s="6"/>
    </row>
    <row r="135" spans="1:16" ht="16.5" hidden="1" thickBot="1" x14ac:dyDescent="0.3">
      <c r="A135" s="4"/>
      <c r="B135" s="218"/>
      <c r="C135" s="572" t="s">
        <v>86</v>
      </c>
      <c r="D135" s="572"/>
      <c r="E135" s="584"/>
      <c r="F135" s="585">
        <f>IF(F133&gt;=0,IF(F133&lt;F140,1+(F133)*(J140-1)/(F140-0),IF(F133&lt;F141,J140+(F133-F140)*(J141-J140)/(F141-F140),J141+(F133-F141)*(J142-J141)/(F142-F141))),1+0.1*IF(INT(-F133/2)&lt;&gt;-F133/2,INT(-F133/2+1),INT(-F133/2)))</f>
        <v>0.89500000000000002</v>
      </c>
      <c r="G135" s="586"/>
      <c r="H135" s="566"/>
      <c r="I135" s="255"/>
      <c r="J135" s="256" t="s">
        <v>25</v>
      </c>
      <c r="K135" s="257">
        <f>F144</f>
        <v>734.7</v>
      </c>
      <c r="L135" s="258" t="s">
        <v>4</v>
      </c>
      <c r="M135" s="572"/>
      <c r="N135" s="572"/>
      <c r="O135" s="567"/>
      <c r="P135" s="6"/>
    </row>
    <row r="136" spans="1:16" ht="16.5" hidden="1" thickBot="1" x14ac:dyDescent="0.3">
      <c r="A136" s="4"/>
      <c r="B136" s="218"/>
      <c r="C136" s="570"/>
      <c r="D136" s="570"/>
      <c r="E136" s="565"/>
      <c r="F136" s="587"/>
      <c r="G136" s="572"/>
      <c r="H136" s="566"/>
      <c r="I136" s="236" t="s">
        <v>122</v>
      </c>
      <c r="J136" s="237"/>
      <c r="K136" s="236"/>
      <c r="L136" s="238"/>
      <c r="M136" s="572"/>
      <c r="N136" s="572"/>
      <c r="O136" s="567"/>
      <c r="P136" s="6"/>
    </row>
    <row r="137" spans="1:16" ht="16.5" hidden="1" thickBot="1" x14ac:dyDescent="0.3">
      <c r="A137" s="4"/>
      <c r="B137" s="218"/>
      <c r="C137" s="570"/>
      <c r="D137" s="570"/>
      <c r="E137" s="565"/>
      <c r="F137" s="587"/>
      <c r="G137" s="572"/>
      <c r="H137" s="566"/>
      <c r="I137" s="231" t="s">
        <v>123</v>
      </c>
      <c r="J137" s="230"/>
      <c r="K137" s="236" t="s">
        <v>124</v>
      </c>
      <c r="L137" s="238"/>
      <c r="M137" s="572"/>
      <c r="N137" s="572"/>
      <c r="O137" s="567"/>
      <c r="P137" s="6"/>
    </row>
    <row r="138" spans="1:16" ht="16.5" hidden="1" thickBot="1" x14ac:dyDescent="0.3">
      <c r="A138" s="4"/>
      <c r="B138" s="218"/>
      <c r="C138" s="570"/>
      <c r="D138" s="570"/>
      <c r="E138" s="565"/>
      <c r="F138" s="587"/>
      <c r="G138" s="572"/>
      <c r="H138" s="572"/>
      <c r="I138" s="463">
        <f>K138+300</f>
        <v>481.86400000000003</v>
      </c>
      <c r="J138" s="464"/>
      <c r="K138" s="463">
        <f>K149*F135</f>
        <v>181.86400000000003</v>
      </c>
      <c r="L138" s="464"/>
      <c r="M138" s="588"/>
      <c r="N138" s="588"/>
      <c r="O138" s="567"/>
      <c r="P138" s="6"/>
    </row>
    <row r="139" spans="1:16" ht="15.75" hidden="1" x14ac:dyDescent="0.25">
      <c r="A139" s="4"/>
      <c r="B139" s="218"/>
      <c r="C139" s="570"/>
      <c r="D139" s="570"/>
      <c r="E139" s="565"/>
      <c r="F139" s="587"/>
      <c r="G139" s="572"/>
      <c r="H139" s="572"/>
      <c r="I139" s="606"/>
      <c r="J139" s="607"/>
      <c r="K139" s="606"/>
      <c r="L139" s="607"/>
      <c r="M139" s="588"/>
      <c r="N139" s="588"/>
      <c r="O139" s="567"/>
      <c r="P139" s="6"/>
    </row>
    <row r="140" spans="1:16" ht="15.75" hidden="1" x14ac:dyDescent="0.25">
      <c r="A140" s="4"/>
      <c r="B140" s="218"/>
      <c r="C140" s="570"/>
      <c r="D140" s="465" t="s">
        <v>125</v>
      </c>
      <c r="E140" s="466"/>
      <c r="F140" s="467">
        <v>10</v>
      </c>
      <c r="G140" s="653"/>
      <c r="H140" s="468" t="s">
        <v>103</v>
      </c>
      <c r="I140" s="469"/>
      <c r="J140" s="470">
        <v>0.85</v>
      </c>
      <c r="K140" s="471" t="s">
        <v>104</v>
      </c>
      <c r="L140" s="608"/>
      <c r="M140" s="609"/>
      <c r="N140" s="588"/>
      <c r="O140" s="567"/>
      <c r="P140" s="6"/>
    </row>
    <row r="141" spans="1:16" ht="15.75" hidden="1" x14ac:dyDescent="0.25">
      <c r="A141" s="4"/>
      <c r="B141" s="218"/>
      <c r="C141" s="570"/>
      <c r="D141" s="472" t="s">
        <v>126</v>
      </c>
      <c r="E141" s="610"/>
      <c r="F141" s="611">
        <v>20</v>
      </c>
      <c r="G141" s="654"/>
      <c r="H141" s="612" t="s">
        <v>103</v>
      </c>
      <c r="I141" s="439"/>
      <c r="J141" s="473">
        <v>0.67</v>
      </c>
      <c r="K141" s="471" t="s">
        <v>106</v>
      </c>
      <c r="L141" s="608"/>
      <c r="M141" s="609"/>
      <c r="N141" s="588"/>
      <c r="O141" s="567"/>
      <c r="P141" s="6"/>
    </row>
    <row r="142" spans="1:16" ht="15.75" hidden="1" x14ac:dyDescent="0.25">
      <c r="A142" s="4"/>
      <c r="B142" s="218"/>
      <c r="C142" s="570"/>
      <c r="D142" s="474" t="s">
        <v>126</v>
      </c>
      <c r="E142" s="475"/>
      <c r="F142" s="476">
        <v>30</v>
      </c>
      <c r="G142" s="655"/>
      <c r="H142" s="477" t="s">
        <v>103</v>
      </c>
      <c r="I142" s="478"/>
      <c r="J142" s="479">
        <v>0.56000000000000005</v>
      </c>
      <c r="K142" s="471" t="s">
        <v>107</v>
      </c>
      <c r="L142" s="608"/>
      <c r="M142" s="609"/>
      <c r="N142" s="588"/>
      <c r="O142" s="567"/>
      <c r="P142" s="6"/>
    </row>
    <row r="143" spans="1:16" ht="15.75" hidden="1" x14ac:dyDescent="0.25">
      <c r="A143" s="4"/>
      <c r="B143" s="218"/>
      <c r="C143" s="570"/>
      <c r="D143" s="570"/>
      <c r="E143" s="565"/>
      <c r="F143" s="577"/>
      <c r="G143" s="589"/>
      <c r="H143" s="590"/>
      <c r="I143" s="591"/>
      <c r="J143" s="590"/>
      <c r="K143" s="591"/>
      <c r="L143" s="590"/>
      <c r="M143" s="591"/>
      <c r="N143" s="590"/>
      <c r="O143" s="567"/>
      <c r="P143" s="6"/>
    </row>
    <row r="144" spans="1:16" ht="19.5" hidden="1" thickBot="1" x14ac:dyDescent="0.3">
      <c r="A144" s="4"/>
      <c r="B144" s="218"/>
      <c r="C144" s="564" t="s">
        <v>50</v>
      </c>
      <c r="D144" s="564"/>
      <c r="E144" s="565"/>
      <c r="F144" s="548">
        <f>E13</f>
        <v>734.7</v>
      </c>
      <c r="G144" s="566" t="s">
        <v>4</v>
      </c>
      <c r="H144" s="573"/>
      <c r="I144" s="592" t="str">
        <f>IF(F144&lt;=840," ","masse maximale 840 kg dépassée")</f>
        <v xml:space="preserve"> </v>
      </c>
      <c r="J144" s="575"/>
      <c r="K144" s="576"/>
      <c r="L144" s="576"/>
      <c r="M144" s="576"/>
      <c r="N144" s="576"/>
      <c r="O144" s="567"/>
      <c r="P144" s="6"/>
    </row>
    <row r="145" spans="1:16" ht="17.25" hidden="1" thickTop="1" thickBot="1" x14ac:dyDescent="0.3">
      <c r="A145" s="4"/>
      <c r="B145" s="218"/>
      <c r="C145" s="564"/>
      <c r="D145" s="564"/>
      <c r="E145" s="565"/>
      <c r="F145" s="565"/>
      <c r="G145" s="566"/>
      <c r="H145" s="573"/>
      <c r="I145" s="573"/>
      <c r="J145" s="575"/>
      <c r="K145" s="576"/>
      <c r="L145" s="576"/>
      <c r="M145" s="576"/>
      <c r="N145" s="576"/>
      <c r="O145" s="567"/>
      <c r="P145" s="6"/>
    </row>
    <row r="146" spans="1:16" ht="16.5" hidden="1" thickBot="1" x14ac:dyDescent="0.3">
      <c r="A146" s="4"/>
      <c r="B146" s="218"/>
      <c r="C146" s="586" t="s">
        <v>87</v>
      </c>
      <c r="D146" s="586"/>
      <c r="E146" s="584"/>
      <c r="F146" s="584">
        <v>840</v>
      </c>
      <c r="G146" s="586" t="s">
        <v>4</v>
      </c>
      <c r="H146" s="594"/>
      <c r="I146" s="255"/>
      <c r="J146" s="256" t="s">
        <v>25</v>
      </c>
      <c r="K146" s="257">
        <f>F144</f>
        <v>734.7</v>
      </c>
      <c r="L146" s="258" t="s">
        <v>4</v>
      </c>
      <c r="M146" s="576"/>
      <c r="N146" s="576"/>
      <c r="O146" s="567"/>
      <c r="P146" s="6"/>
    </row>
    <row r="147" spans="1:16" ht="16.5" hidden="1" thickBot="1" x14ac:dyDescent="0.3">
      <c r="A147" s="4"/>
      <c r="B147" s="218"/>
      <c r="C147" s="564" t="s">
        <v>88</v>
      </c>
      <c r="D147" s="564"/>
      <c r="E147" s="565"/>
      <c r="F147" s="584">
        <v>750</v>
      </c>
      <c r="G147" s="572" t="s">
        <v>4</v>
      </c>
      <c r="H147" s="594"/>
      <c r="I147" s="236" t="s">
        <v>122</v>
      </c>
      <c r="J147" s="237"/>
      <c r="K147" s="236"/>
      <c r="L147" s="238"/>
      <c r="M147" s="576"/>
      <c r="N147" s="576"/>
      <c r="O147" s="567"/>
      <c r="P147" s="6"/>
    </row>
    <row r="148" spans="1:16" ht="16.5" hidden="1" thickBot="1" x14ac:dyDescent="0.3">
      <c r="A148" s="4"/>
      <c r="B148" s="218"/>
      <c r="C148" s="564"/>
      <c r="D148" s="564"/>
      <c r="E148" s="565"/>
      <c r="F148" s="584"/>
      <c r="G148" s="572"/>
      <c r="H148" s="594"/>
      <c r="I148" s="231" t="s">
        <v>123</v>
      </c>
      <c r="J148" s="230"/>
      <c r="K148" s="236" t="s">
        <v>124</v>
      </c>
      <c r="L148" s="238"/>
      <c r="M148" s="576"/>
      <c r="N148" s="576"/>
      <c r="O148" s="567"/>
      <c r="P148" s="6"/>
    </row>
    <row r="149" spans="1:16" ht="16.5" hidden="1" thickBot="1" x14ac:dyDescent="0.3">
      <c r="A149" s="4"/>
      <c r="B149" s="218"/>
      <c r="C149" s="570"/>
      <c r="D149" s="570"/>
      <c r="E149" s="565"/>
      <c r="F149" s="587"/>
      <c r="G149" s="572"/>
      <c r="H149" s="576"/>
      <c r="I149" s="463">
        <f>K149+300</f>
        <v>503.20000000000005</v>
      </c>
      <c r="J149" s="464"/>
      <c r="K149" s="463">
        <f>IF(F144&lt;841,L131+($F$144-$F$147)*(H131-L131)/($F$146-$F$147),"#####")</f>
        <v>203.20000000000002</v>
      </c>
      <c r="L149" s="464"/>
      <c r="M149" s="591"/>
      <c r="N149" s="591"/>
      <c r="O149" s="567"/>
      <c r="P149" s="6"/>
    </row>
    <row r="150" spans="1:16" ht="15.75" hidden="1" x14ac:dyDescent="0.25">
      <c r="A150" s="4"/>
      <c r="B150" s="218"/>
      <c r="C150" s="570"/>
      <c r="D150" s="570"/>
      <c r="E150" s="565"/>
      <c r="F150" s="577"/>
      <c r="G150" s="588"/>
      <c r="H150" s="590"/>
      <c r="I150" s="591"/>
      <c r="J150" s="590"/>
      <c r="K150" s="591"/>
      <c r="L150" s="590"/>
      <c r="M150" s="591"/>
      <c r="N150" s="590"/>
      <c r="O150" s="567"/>
      <c r="P150" s="6"/>
    </row>
    <row r="151" spans="1:16" ht="18.75" hidden="1" x14ac:dyDescent="0.3">
      <c r="A151" s="4"/>
      <c r="B151" s="218"/>
      <c r="C151" s="259" t="s">
        <v>127</v>
      </c>
      <c r="D151" s="595"/>
      <c r="E151" s="596"/>
      <c r="F151" s="260"/>
      <c r="G151" s="261"/>
      <c r="H151" s="261"/>
      <c r="I151" s="596"/>
      <c r="J151" s="596"/>
      <c r="K151" s="596"/>
      <c r="L151" s="596"/>
      <c r="M151" s="596"/>
      <c r="N151" s="596"/>
      <c r="O151" s="567"/>
      <c r="P151" s="6"/>
    </row>
    <row r="152" spans="1:16" ht="15.75" hidden="1" thickBot="1" x14ac:dyDescent="0.3">
      <c r="A152" s="4"/>
      <c r="B152" s="218"/>
      <c r="C152" s="278"/>
      <c r="D152" s="279"/>
      <c r="E152" s="480"/>
      <c r="F152" s="280"/>
      <c r="G152" s="280"/>
      <c r="H152" s="280"/>
      <c r="I152" s="280"/>
      <c r="J152" s="268"/>
      <c r="K152" s="267" t="s">
        <v>128</v>
      </c>
      <c r="L152" s="268">
        <f>K138+300</f>
        <v>481.86400000000003</v>
      </c>
      <c r="M152" s="269" t="s">
        <v>91</v>
      </c>
      <c r="N152" s="281"/>
      <c r="O152" s="567"/>
      <c r="P152" s="6"/>
    </row>
    <row r="153" spans="1:16" ht="27.75" hidden="1" thickBot="1" x14ac:dyDescent="0.3">
      <c r="A153" s="4"/>
      <c r="B153" s="218"/>
      <c r="C153" s="481"/>
      <c r="D153" s="482"/>
      <c r="E153" s="483"/>
      <c r="F153" s="483"/>
      <c r="G153" s="483"/>
      <c r="H153" s="483"/>
      <c r="I153" s="483"/>
      <c r="J153" s="484"/>
      <c r="K153" s="485" t="s">
        <v>129</v>
      </c>
      <c r="L153" s="486">
        <f>K138*1.15+300</f>
        <v>509.14359999999999</v>
      </c>
      <c r="M153" s="487" t="s">
        <v>91</v>
      </c>
      <c r="N153" s="528" t="s">
        <v>143</v>
      </c>
      <c r="O153" s="567"/>
      <c r="P153" s="6"/>
    </row>
    <row r="154" spans="1:16" ht="27.75" hidden="1" thickBot="1" x14ac:dyDescent="0.3">
      <c r="A154" s="4"/>
      <c r="B154" s="218"/>
      <c r="C154" s="488"/>
      <c r="D154" s="489"/>
      <c r="E154" s="490"/>
      <c r="F154" s="490"/>
      <c r="G154" s="490"/>
      <c r="H154" s="490"/>
      <c r="I154" s="490"/>
      <c r="J154" s="491"/>
      <c r="K154" s="492" t="s">
        <v>130</v>
      </c>
      <c r="L154" s="493">
        <f>K138*1.5+300</f>
        <v>572.79600000000005</v>
      </c>
      <c r="M154" s="494" t="s">
        <v>91</v>
      </c>
      <c r="N154" s="529" t="s">
        <v>144</v>
      </c>
      <c r="O154" s="567"/>
      <c r="P154" s="6"/>
    </row>
    <row r="155" spans="1:16" ht="16.5" hidden="1" thickTop="1" thickBot="1" x14ac:dyDescent="0.3">
      <c r="A155" s="4"/>
      <c r="B155" s="597"/>
      <c r="C155" s="598"/>
      <c r="D155" s="598"/>
      <c r="E155" s="598"/>
      <c r="F155" s="598"/>
      <c r="G155" s="598"/>
      <c r="H155" s="598"/>
      <c r="I155" s="598"/>
      <c r="J155" s="598"/>
      <c r="K155" s="598"/>
      <c r="L155" s="598"/>
      <c r="M155" s="598"/>
      <c r="N155" s="598"/>
      <c r="O155" s="235"/>
      <c r="P155" s="6"/>
    </row>
    <row r="156" spans="1:16" hidden="1" x14ac:dyDescent="0.25">
      <c r="A156" s="4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6"/>
    </row>
    <row r="157" spans="1:16" ht="18.75" hidden="1" x14ac:dyDescent="0.25">
      <c r="A157" s="550"/>
      <c r="B157" s="289" t="s">
        <v>108</v>
      </c>
      <c r="C157" s="290"/>
      <c r="D157" s="290"/>
      <c r="E157" s="289"/>
      <c r="F157" s="291"/>
      <c r="G157" s="291"/>
      <c r="H157" s="291"/>
      <c r="I157" s="291"/>
      <c r="J157" s="291"/>
      <c r="K157" s="291"/>
      <c r="L157" s="291"/>
      <c r="M157" s="291"/>
      <c r="N157" s="291"/>
      <c r="O157" s="3"/>
      <c r="P157" s="6"/>
    </row>
    <row r="158" spans="1:16" ht="15.75" hidden="1" x14ac:dyDescent="0.25">
      <c r="A158" s="4"/>
      <c r="B158" s="381"/>
      <c r="C158" s="382" t="s">
        <v>131</v>
      </c>
      <c r="D158" s="382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4"/>
      <c r="P158" s="6"/>
    </row>
    <row r="159" spans="1:16" ht="16.5" hidden="1" thickBot="1" x14ac:dyDescent="0.3">
      <c r="A159" s="4"/>
      <c r="B159" s="385"/>
      <c r="C159" s="386" t="s">
        <v>132</v>
      </c>
      <c r="D159" s="387"/>
      <c r="E159" s="388"/>
      <c r="F159" s="388"/>
      <c r="G159" s="388"/>
      <c r="H159" s="388"/>
      <c r="I159" s="388"/>
      <c r="J159" s="388"/>
      <c r="K159" s="388"/>
      <c r="L159" s="388"/>
      <c r="M159" s="388"/>
      <c r="N159" s="388"/>
      <c r="O159" s="389"/>
      <c r="P159" s="6"/>
    </row>
    <row r="160" spans="1:16" ht="15.75" hidden="1" thickBot="1" x14ac:dyDescent="0.3">
      <c r="A160" s="4"/>
      <c r="B160" s="398"/>
      <c r="C160" s="416"/>
      <c r="D160" s="495" t="s">
        <v>133</v>
      </c>
      <c r="E160" s="496"/>
      <c r="F160" s="497"/>
      <c r="G160" s="497"/>
      <c r="H160" s="497"/>
      <c r="I160" s="497"/>
      <c r="J160" s="498">
        <v>840</v>
      </c>
      <c r="K160" s="499" t="s">
        <v>4</v>
      </c>
      <c r="L160" s="498">
        <v>750</v>
      </c>
      <c r="M160" s="499" t="s">
        <v>4</v>
      </c>
      <c r="N160" s="424"/>
      <c r="O160" s="403"/>
      <c r="P160" s="6"/>
    </row>
    <row r="161" spans="1:16" ht="15.75" hidden="1" thickBot="1" x14ac:dyDescent="0.3">
      <c r="A161" s="4"/>
      <c r="B161" s="398"/>
      <c r="C161" s="416"/>
      <c r="D161" s="495" t="s">
        <v>134</v>
      </c>
      <c r="E161" s="496"/>
      <c r="F161" s="497"/>
      <c r="G161" s="497"/>
      <c r="H161" s="497"/>
      <c r="I161" s="497"/>
      <c r="J161" s="498">
        <v>120</v>
      </c>
      <c r="K161" s="499" t="s">
        <v>135</v>
      </c>
      <c r="L161" s="498">
        <v>110</v>
      </c>
      <c r="M161" s="499" t="s">
        <v>135</v>
      </c>
      <c r="N161" s="424"/>
      <c r="O161" s="403"/>
      <c r="P161" s="6"/>
    </row>
    <row r="162" spans="1:16" ht="15.75" hidden="1" thickBot="1" x14ac:dyDescent="0.3">
      <c r="A162" s="4"/>
      <c r="B162" s="398"/>
      <c r="C162" s="416"/>
      <c r="D162" s="495" t="s">
        <v>136</v>
      </c>
      <c r="E162" s="496"/>
      <c r="F162" s="497"/>
      <c r="G162" s="497"/>
      <c r="H162" s="497"/>
      <c r="I162" s="497"/>
      <c r="J162" s="498">
        <v>250</v>
      </c>
      <c r="K162" s="499" t="s">
        <v>91</v>
      </c>
      <c r="L162" s="498">
        <v>210</v>
      </c>
      <c r="M162" s="499" t="s">
        <v>91</v>
      </c>
      <c r="N162" s="424"/>
      <c r="O162" s="403"/>
      <c r="P162" s="6"/>
    </row>
    <row r="163" spans="1:16" hidden="1" x14ac:dyDescent="0.25">
      <c r="A163" s="4"/>
      <c r="B163" s="441"/>
      <c r="C163" s="442"/>
      <c r="D163" s="442"/>
      <c r="E163" s="443"/>
      <c r="F163" s="444"/>
      <c r="G163" s="445"/>
      <c r="H163" s="446"/>
      <c r="I163" s="445"/>
      <c r="J163" s="446"/>
      <c r="K163" s="445"/>
      <c r="L163" s="446"/>
      <c r="M163" s="447"/>
      <c r="N163" s="424"/>
      <c r="O163" s="408"/>
      <c r="P163" s="6"/>
    </row>
    <row r="164" spans="1:16" hidden="1" x14ac:dyDescent="0.25">
      <c r="A164" s="4"/>
      <c r="B164" s="448"/>
      <c r="C164" s="358"/>
      <c r="D164" s="500" t="s">
        <v>137</v>
      </c>
      <c r="E164" s="447"/>
      <c r="F164" s="449"/>
      <c r="G164" s="450"/>
      <c r="H164" s="451"/>
      <c r="I164" s="447"/>
      <c r="J164" s="447"/>
      <c r="K164" s="447"/>
      <c r="L164" s="451"/>
      <c r="M164" s="447"/>
      <c r="N164" s="452"/>
      <c r="O164" s="397"/>
      <c r="P164" s="6"/>
    </row>
    <row r="165" spans="1:16" hidden="1" x14ac:dyDescent="0.25">
      <c r="A165" s="4"/>
      <c r="B165" s="453"/>
      <c r="C165" s="367"/>
      <c r="D165" s="367"/>
      <c r="E165" s="367"/>
      <c r="F165" s="454"/>
      <c r="G165" s="455"/>
      <c r="H165" s="456"/>
      <c r="I165" s="367"/>
      <c r="J165" s="367"/>
      <c r="K165" s="367"/>
      <c r="L165" s="456"/>
      <c r="M165" s="367"/>
      <c r="N165" s="456"/>
      <c r="O165" s="457"/>
      <c r="P165" s="6"/>
    </row>
    <row r="166" spans="1:16" hidden="1" x14ac:dyDescent="0.25">
      <c r="A166" s="6"/>
      <c r="B166" s="4"/>
      <c r="C166" s="376"/>
      <c r="D166" s="376"/>
      <c r="E166" s="377"/>
      <c r="F166" s="378"/>
      <c r="G166" s="379"/>
      <c r="H166" s="380"/>
      <c r="I166" s="379"/>
      <c r="J166" s="380"/>
      <c r="K166" s="379"/>
      <c r="L166" s="380"/>
      <c r="M166" s="379"/>
      <c r="N166" s="380"/>
      <c r="O166" s="4"/>
      <c r="P166" s="6"/>
    </row>
  </sheetData>
  <sheetProtection sheet="1" selectLockedCells="1"/>
  <mergeCells count="20">
    <mergeCell ref="G9:H9"/>
    <mergeCell ref="L8:M8"/>
    <mergeCell ref="B1:G2"/>
    <mergeCell ref="H1:N1"/>
    <mergeCell ref="H2:N2"/>
    <mergeCell ref="G5:G7"/>
    <mergeCell ref="H5:N5"/>
    <mergeCell ref="J6:K6"/>
    <mergeCell ref="L6:M6"/>
    <mergeCell ref="H40:H42"/>
    <mergeCell ref="K41:L41"/>
    <mergeCell ref="M41:N41"/>
    <mergeCell ref="D105:E105"/>
    <mergeCell ref="H13:N13"/>
    <mergeCell ref="G26:I26"/>
    <mergeCell ref="G29:I29"/>
    <mergeCell ref="G19:I19"/>
    <mergeCell ref="J19:K20"/>
    <mergeCell ref="L19:N20"/>
    <mergeCell ref="G20:I20"/>
  </mergeCells>
  <conditionalFormatting sqref="E7">
    <cfRule type="expression" dxfId="21" priority="4" stopIfTrue="1">
      <formula>I6&gt;1500</formula>
    </cfRule>
  </conditionalFormatting>
  <conditionalFormatting sqref="E9">
    <cfRule type="expression" dxfId="20" priority="3" stopIfTrue="1">
      <formula>E9&gt;45</formula>
    </cfRule>
  </conditionalFormatting>
  <conditionalFormatting sqref="F42">
    <cfRule type="expression" dxfId="18" priority="5" stopIfTrue="1">
      <formula>J41&gt;1500</formula>
    </cfRule>
  </conditionalFormatting>
  <conditionalFormatting sqref="F144">
    <cfRule type="cellIs" dxfId="17" priority="9" stopIfTrue="1" operator="greaterThan">
      <formula>840</formula>
    </cfRule>
    <cfRule type="cellIs" dxfId="16" priority="10" stopIfTrue="1" operator="greaterThan">
      <formula>1045</formula>
    </cfRule>
  </conditionalFormatting>
  <conditionalFormatting sqref="H7">
    <cfRule type="expression" dxfId="15" priority="6" stopIfTrue="1">
      <formula>I6&gt;1500</formula>
    </cfRule>
  </conditionalFormatting>
  <conditionalFormatting sqref="I42">
    <cfRule type="expression" dxfId="14" priority="11" stopIfTrue="1">
      <formula>J41&gt;1500</formula>
    </cfRule>
  </conditionalFormatting>
  <conditionalFormatting sqref="L6">
    <cfRule type="cellIs" dxfId="13" priority="7" stopIfTrue="1" operator="greaterThan">
      <formula>1500</formula>
    </cfRule>
  </conditionalFormatting>
  <conditionalFormatting sqref="M41">
    <cfRule type="cellIs" dxfId="12" priority="13" stopIfTrue="1" operator="greaterThan">
      <formula>1500</formula>
    </cfRule>
  </conditionalFormatting>
  <conditionalFormatting sqref="R41">
    <cfRule type="cellIs" dxfId="11" priority="14" stopIfTrue="1" operator="greaterThan">
      <formula>1500</formula>
    </cfRule>
  </conditionalFormatting>
  <pageMargins left="0.15748031496062992" right="0" top="0.19685039370078741" bottom="0" header="0" footer="0"/>
  <pageSetup paperSize="9" scale="95" orientation="portrait" r:id="rId1"/>
  <ignoredErrors>
    <ignoredError sqref="H46:M49 H53:M53 L80:L9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DD2FBED3-5BD4-4B4E-929C-BCCA54ADF910}">
            <xm:f>E13&gt;'Masse &amp; Centrage'!$E$55</xm:f>
            <x14:dxf>
              <font>
                <color auto="1"/>
              </font>
              <fill>
                <patternFill>
                  <bgColor rgb="FFFF9999"/>
                </patternFill>
              </fill>
            </x14:dxf>
          </x14:cfRule>
          <xm:sqref>E13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467C-4A29-4693-B3A5-9B9F0266A3AC}">
  <dimension ref="A1:S166"/>
  <sheetViews>
    <sheetView showGridLines="0" showRowColHeaders="0" zoomScaleNormal="100" workbookViewId="0">
      <selection activeCell="E11" sqref="E11"/>
    </sheetView>
  </sheetViews>
  <sheetFormatPr defaultColWidth="11.42578125" defaultRowHeight="15" x14ac:dyDescent="0.25"/>
  <cols>
    <col min="1" max="1" width="3.28515625" customWidth="1"/>
    <col min="2" max="2" width="2.7109375" customWidth="1"/>
    <col min="3" max="3" width="9.7109375" customWidth="1"/>
    <col min="4" max="4" width="10.7109375" customWidth="1"/>
    <col min="5" max="5" width="11.7109375" customWidth="1"/>
    <col min="6" max="6" width="10.7109375" customWidth="1"/>
    <col min="7" max="7" width="7.7109375" customWidth="1"/>
    <col min="8" max="8" width="5.7109375" customWidth="1"/>
    <col min="9" max="9" width="6.7109375" customWidth="1"/>
    <col min="10" max="10" width="5.7109375" customWidth="1"/>
    <col min="11" max="12" width="6.7109375" customWidth="1"/>
    <col min="13" max="13" width="5.7109375" customWidth="1"/>
    <col min="14" max="14" width="7.28515625" customWidth="1"/>
    <col min="15" max="15" width="2.7109375" customWidth="1"/>
    <col min="16" max="16" width="3.28515625" customWidth="1"/>
    <col min="17" max="17" width="1.7109375" customWidth="1"/>
  </cols>
  <sheetData>
    <row r="1" spans="1:16" s="1" customFormat="1" ht="24.95" customHeight="1" x14ac:dyDescent="0.3">
      <c r="A1" s="7"/>
      <c r="B1" s="682" t="str">
        <f>"Performances  "&amp;'Masse &amp; Centrage'!D43&amp;" / "&amp;'Masse &amp; Centrage'!D44</f>
        <v>Performances  DR221 / F-BPCT</v>
      </c>
      <c r="C1" s="683"/>
      <c r="D1" s="683"/>
      <c r="E1" s="683"/>
      <c r="F1" s="683"/>
      <c r="G1" s="683"/>
      <c r="H1" s="694" t="s">
        <v>150</v>
      </c>
      <c r="I1" s="695"/>
      <c r="J1" s="695"/>
      <c r="K1" s="695"/>
      <c r="L1" s="695"/>
      <c r="M1" s="695"/>
      <c r="N1" s="695"/>
      <c r="O1" s="7"/>
      <c r="P1" s="7"/>
    </row>
    <row r="2" spans="1:16" s="1" customFormat="1" ht="24.95" customHeight="1" thickBot="1" x14ac:dyDescent="0.3">
      <c r="A2" s="7"/>
      <c r="B2" s="684"/>
      <c r="C2" s="684"/>
      <c r="D2" s="684"/>
      <c r="E2" s="684"/>
      <c r="F2" s="684"/>
      <c r="G2" s="684"/>
      <c r="H2" s="691"/>
      <c r="I2" s="692"/>
      <c r="J2" s="692"/>
      <c r="K2" s="692"/>
      <c r="L2" s="692"/>
      <c r="M2" s="692"/>
      <c r="N2" s="693"/>
      <c r="O2" s="7"/>
      <c r="P2" s="7"/>
    </row>
    <row r="3" spans="1:16" s="1" customFormat="1" ht="20.100000000000001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s="1" customFormat="1" ht="12" customHeight="1" x14ac:dyDescent="0.3">
      <c r="A4" s="7"/>
      <c r="B4" s="8"/>
      <c r="C4" s="9"/>
      <c r="D4" s="10"/>
      <c r="E4" s="10"/>
      <c r="F4" s="10"/>
      <c r="G4" s="10"/>
      <c r="H4" s="11"/>
      <c r="I4" s="10"/>
      <c r="J4" s="12"/>
      <c r="K4" s="10"/>
      <c r="L4" s="507"/>
      <c r="M4" s="507"/>
      <c r="N4" s="507"/>
      <c r="O4" s="47"/>
      <c r="P4" s="7"/>
    </row>
    <row r="5" spans="1:16" s="1" customFormat="1" ht="20.100000000000001" customHeight="1" thickBot="1" x14ac:dyDescent="0.3">
      <c r="A5" s="7"/>
      <c r="B5" s="13"/>
      <c r="C5" s="14" t="s">
        <v>5</v>
      </c>
      <c r="D5" s="15"/>
      <c r="E5" s="2">
        <v>1013</v>
      </c>
      <c r="F5" s="16" t="s">
        <v>2</v>
      </c>
      <c r="G5" s="685" t="s">
        <v>6</v>
      </c>
      <c r="H5" s="688" t="s">
        <v>41</v>
      </c>
      <c r="I5" s="689"/>
      <c r="J5" s="689"/>
      <c r="K5" s="689"/>
      <c r="L5" s="689"/>
      <c r="M5" s="689"/>
      <c r="N5" s="690"/>
      <c r="O5" s="48"/>
      <c r="P5" s="7"/>
    </row>
    <row r="6" spans="1:16" s="1" customFormat="1" ht="9.9499999999999993" customHeight="1" x14ac:dyDescent="0.25">
      <c r="A6" s="7"/>
      <c r="B6" s="13"/>
      <c r="C6" s="17"/>
      <c r="D6" s="15"/>
      <c r="E6" s="15"/>
      <c r="F6" s="15"/>
      <c r="G6" s="685"/>
      <c r="H6" s="543">
        <f>E7-(E5-1013)*28</f>
        <v>0</v>
      </c>
      <c r="I6" s="544">
        <f>ROUND(H6/3.28084,0)</f>
        <v>0</v>
      </c>
      <c r="J6" s="696" t="str">
        <f>IF(I6&lt;1501,"",H6)</f>
        <v/>
      </c>
      <c r="K6" s="697"/>
      <c r="L6" s="698" t="str">
        <f>IF(I6&lt;1501,"",I6)</f>
        <v/>
      </c>
      <c r="M6" s="699"/>
      <c r="N6" s="545"/>
      <c r="O6" s="48"/>
      <c r="P6" s="7"/>
    </row>
    <row r="7" spans="1:16" s="1" customFormat="1" ht="20.100000000000001" customHeight="1" thickBot="1" x14ac:dyDescent="0.35">
      <c r="A7" s="7"/>
      <c r="B7" s="13"/>
      <c r="C7" s="14" t="s">
        <v>11</v>
      </c>
      <c r="D7" s="15"/>
      <c r="E7" s="2"/>
      <c r="F7" s="16" t="s">
        <v>1</v>
      </c>
      <c r="G7" s="685"/>
      <c r="H7" s="560">
        <f>IF(I6&lt;1501,H6,"altitude max MdV = 1500 m")</f>
        <v>0</v>
      </c>
      <c r="I7" s="556"/>
      <c r="J7" s="557"/>
      <c r="K7" s="557"/>
      <c r="L7" s="558"/>
      <c r="M7" s="558"/>
      <c r="N7" s="559"/>
      <c r="O7" s="48"/>
      <c r="P7" s="7"/>
    </row>
    <row r="8" spans="1:16" s="1" customFormat="1" ht="18" customHeight="1" thickTop="1" x14ac:dyDescent="0.25">
      <c r="A8" s="7"/>
      <c r="B8" s="13"/>
      <c r="C8" s="19"/>
      <c r="D8" s="19"/>
      <c r="E8" s="19"/>
      <c r="F8" s="19"/>
      <c r="G8" s="19"/>
      <c r="H8" s="614"/>
      <c r="I8" s="544"/>
      <c r="J8" s="546"/>
      <c r="K8" s="658" t="s">
        <v>157</v>
      </c>
      <c r="L8" s="710">
        <f>I42+120*(E9-(15-2*I42/1000))</f>
        <v>-1800</v>
      </c>
      <c r="M8" s="710"/>
      <c r="N8" s="19"/>
      <c r="O8" s="48"/>
      <c r="P8" s="7"/>
    </row>
    <row r="9" spans="1:16" s="1" customFormat="1" ht="20.100000000000001" customHeight="1" thickBot="1" x14ac:dyDescent="0.3">
      <c r="A9" s="7"/>
      <c r="B9" s="13"/>
      <c r="C9" s="14" t="s">
        <v>0</v>
      </c>
      <c r="D9" s="15"/>
      <c r="E9" s="2"/>
      <c r="F9" s="16" t="s">
        <v>7</v>
      </c>
      <c r="G9" s="700">
        <f>ROUND(E9-15+M34*2/1000,0)</f>
        <v>-15</v>
      </c>
      <c r="H9" s="700"/>
      <c r="I9"/>
      <c r="J9"/>
      <c r="K9"/>
      <c r="L9"/>
      <c r="M9"/>
      <c r="N9"/>
      <c r="O9" s="48"/>
      <c r="P9" s="7"/>
    </row>
    <row r="10" spans="1:16" s="1" customFormat="1" ht="9.9499999999999993" customHeight="1" x14ac:dyDescent="0.25">
      <c r="A10" s="7"/>
      <c r="B10" s="13"/>
      <c r="C10" s="18"/>
      <c r="D10" s="15"/>
      <c r="E10" s="20"/>
      <c r="F10" s="21"/>
      <c r="G10" s="22"/>
      <c r="H10" s="23"/>
      <c r="I10" s="22"/>
      <c r="J10" s="23"/>
      <c r="K10" s="22"/>
      <c r="L10" s="19"/>
      <c r="M10" s="19"/>
      <c r="N10" s="19"/>
      <c r="O10" s="48"/>
      <c r="P10" s="7"/>
    </row>
    <row r="11" spans="1:16" s="1" customFormat="1" ht="20.100000000000001" customHeight="1" thickBot="1" x14ac:dyDescent="0.3">
      <c r="A11" s="7"/>
      <c r="B11" s="13"/>
      <c r="C11" s="78" t="s">
        <v>46</v>
      </c>
      <c r="D11" s="24"/>
      <c r="E11" s="2"/>
      <c r="F11" s="25" t="s">
        <v>3</v>
      </c>
      <c r="G11" s="551" t="s">
        <v>84</v>
      </c>
      <c r="H11" s="552" t="s">
        <v>147</v>
      </c>
      <c r="I11" s="553"/>
      <c r="J11" s="554"/>
      <c r="K11" s="554"/>
      <c r="L11" s="555"/>
      <c r="M11" s="555"/>
      <c r="N11" s="555"/>
      <c r="O11" s="547"/>
      <c r="P11" s="7"/>
    </row>
    <row r="12" spans="1:16" s="1" customFormat="1" ht="9.9499999999999993" customHeight="1" x14ac:dyDescent="0.25">
      <c r="A12" s="7"/>
      <c r="B12" s="13"/>
      <c r="C12" s="78"/>
      <c r="D12" s="24"/>
      <c r="E12" s="77"/>
      <c r="F12" s="25"/>
      <c r="G12" s="26"/>
      <c r="H12" s="26"/>
      <c r="I12" s="27"/>
      <c r="J12" s="501"/>
      <c r="K12" s="25"/>
      <c r="L12" s="19"/>
      <c r="M12" s="19"/>
      <c r="N12" s="19"/>
      <c r="O12" s="48"/>
      <c r="P12" s="7"/>
    </row>
    <row r="13" spans="1:16" s="1" customFormat="1" ht="18" customHeight="1" thickBot="1" x14ac:dyDescent="0.3">
      <c r="A13" s="7"/>
      <c r="B13" s="13"/>
      <c r="C13" s="78" t="s">
        <v>50</v>
      </c>
      <c r="D13" s="24"/>
      <c r="E13" s="652">
        <f>'Masse &amp; Centrage'!D16</f>
        <v>734.7</v>
      </c>
      <c r="F13" s="25" t="s">
        <v>4</v>
      </c>
      <c r="G13" s="26"/>
      <c r="H13" s="686" t="str">
        <f>IF(E13&lt;='Masse &amp; Centrage'!E55," ","masse max  =  "&amp;'Masse &amp; Centrage'!E55&amp;" kg")</f>
        <v xml:space="preserve"> </v>
      </c>
      <c r="I13" s="687"/>
      <c r="J13" s="687"/>
      <c r="K13" s="687"/>
      <c r="L13" s="687"/>
      <c r="M13" s="687"/>
      <c r="N13" s="687"/>
      <c r="O13" s="48"/>
      <c r="P13" s="7"/>
    </row>
    <row r="14" spans="1:16" s="1" customFormat="1" ht="9.9499999999999993" customHeight="1" thickBot="1" x14ac:dyDescent="0.3">
      <c r="A14" s="7"/>
      <c r="B14" s="114"/>
      <c r="C14" s="50"/>
      <c r="D14" s="51"/>
      <c r="E14" s="52"/>
      <c r="F14" s="53"/>
      <c r="G14" s="54"/>
      <c r="H14" s="55"/>
      <c r="I14" s="54"/>
      <c r="J14" s="55"/>
      <c r="K14" s="54"/>
      <c r="L14" s="115"/>
      <c r="M14" s="115"/>
      <c r="N14" s="115"/>
      <c r="O14" s="56"/>
      <c r="P14" s="7"/>
    </row>
    <row r="15" spans="1:16" s="1" customFormat="1" ht="20.100000000000001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s="1" customFormat="1" ht="21.95" customHeight="1" x14ac:dyDescent="0.25">
      <c r="A16" s="7"/>
      <c r="B16" s="73"/>
      <c r="C16" s="80" t="s">
        <v>153</v>
      </c>
      <c r="D16" s="75"/>
      <c r="E16" s="76"/>
      <c r="F16" s="76"/>
      <c r="G16" s="74"/>
      <c r="H16" s="74"/>
      <c r="I16" s="74"/>
      <c r="J16" s="74"/>
      <c r="K16" s="74"/>
      <c r="L16" s="534"/>
      <c r="M16" s="534"/>
      <c r="N16" s="534"/>
      <c r="O16" s="530"/>
      <c r="P16" s="7"/>
    </row>
    <row r="17" spans="1:16" s="1" customFormat="1" ht="9.9499999999999993" customHeight="1" x14ac:dyDescent="0.25">
      <c r="A17" s="7"/>
      <c r="B17" s="502"/>
      <c r="C17" s="503"/>
      <c r="D17" s="504"/>
      <c r="E17" s="505"/>
      <c r="F17" s="505"/>
      <c r="G17" s="506"/>
      <c r="H17" s="506"/>
      <c r="I17" s="506"/>
      <c r="J17" s="506"/>
      <c r="K17" s="506"/>
      <c r="L17" s="19"/>
      <c r="M17" s="19"/>
      <c r="N17" s="19"/>
      <c r="O17" s="531"/>
      <c r="P17" s="7"/>
    </row>
    <row r="18" spans="1:16" s="1" customFormat="1" ht="20.100000000000001" customHeight="1" x14ac:dyDescent="0.3">
      <c r="A18" s="7"/>
      <c r="B18" s="13"/>
      <c r="C18" s="31" t="s">
        <v>141</v>
      </c>
      <c r="D18" s="32"/>
      <c r="E18" s="33"/>
      <c r="F18" s="34"/>
      <c r="G18" s="34"/>
      <c r="H18" s="32"/>
      <c r="I18" s="32"/>
      <c r="J18" s="32"/>
      <c r="K18" s="32"/>
      <c r="L18" s="32"/>
      <c r="M18" s="32"/>
      <c r="N18" s="32"/>
      <c r="O18" s="48"/>
      <c r="P18" s="7"/>
    </row>
    <row r="19" spans="1:16" s="1" customFormat="1" ht="20.100000000000001" customHeight="1" x14ac:dyDescent="0.25">
      <c r="A19" s="7"/>
      <c r="B19" s="13"/>
      <c r="C19" s="83"/>
      <c r="D19" s="84"/>
      <c r="E19" s="85"/>
      <c r="F19" s="85" t="s">
        <v>43</v>
      </c>
      <c r="G19" s="706">
        <f>L153</f>
        <v>438.57224000000002</v>
      </c>
      <c r="H19" s="707"/>
      <c r="I19" s="707"/>
      <c r="J19" s="723"/>
      <c r="K19" s="724"/>
      <c r="L19" s="701" t="s">
        <v>155</v>
      </c>
      <c r="M19" s="702"/>
      <c r="N19" s="703"/>
      <c r="O19" s="48"/>
      <c r="P19" s="7"/>
    </row>
    <row r="20" spans="1:16" s="1" customFormat="1" ht="15" customHeight="1" thickBot="1" x14ac:dyDescent="0.35">
      <c r="A20" s="7"/>
      <c r="B20" s="13"/>
      <c r="C20" s="116"/>
      <c r="D20" s="117"/>
      <c r="E20" s="118"/>
      <c r="F20" s="119" t="s">
        <v>61</v>
      </c>
      <c r="G20" s="717">
        <f>L154</f>
        <v>480.74639999999999</v>
      </c>
      <c r="H20" s="718"/>
      <c r="I20" s="718"/>
      <c r="J20" s="725"/>
      <c r="K20" s="725"/>
      <c r="L20" s="704"/>
      <c r="M20" s="704"/>
      <c r="N20" s="705"/>
      <c r="O20" s="48"/>
      <c r="P20" s="7"/>
    </row>
    <row r="21" spans="1:16" s="1" customFormat="1" ht="12" customHeight="1" thickBot="1" x14ac:dyDescent="0.3">
      <c r="A21" s="7"/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56"/>
      <c r="P21" s="7"/>
    </row>
    <row r="22" spans="1:16" s="1" customFormat="1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s="1" customFormat="1" ht="21.95" customHeight="1" x14ac:dyDescent="0.25">
      <c r="A23" s="7"/>
      <c r="B23" s="73"/>
      <c r="C23" s="79" t="s">
        <v>165</v>
      </c>
      <c r="D23" s="75"/>
      <c r="E23" s="76"/>
      <c r="F23" s="76"/>
      <c r="G23" s="74"/>
      <c r="H23" s="74"/>
      <c r="I23" s="74"/>
      <c r="J23" s="74"/>
      <c r="K23" s="74"/>
      <c r="L23" s="534"/>
      <c r="M23" s="534"/>
      <c r="N23" s="534"/>
      <c r="O23" s="530"/>
      <c r="P23" s="7"/>
    </row>
    <row r="24" spans="1:16" s="1" customFormat="1" ht="9.9499999999999993" customHeight="1" x14ac:dyDescent="0.25">
      <c r="A24" s="7"/>
      <c r="B24" s="13"/>
      <c r="C24" s="18"/>
      <c r="D24" s="15"/>
      <c r="E24" s="20"/>
      <c r="F24" s="28"/>
      <c r="G24" s="29"/>
      <c r="H24" s="30"/>
      <c r="I24" s="29"/>
      <c r="J24" s="30"/>
      <c r="K24" s="29"/>
      <c r="L24" s="19"/>
      <c r="M24" s="19"/>
      <c r="N24" s="19"/>
      <c r="O24" s="48"/>
      <c r="P24" s="7"/>
    </row>
    <row r="25" spans="1:16" s="1" customFormat="1" ht="20.100000000000001" customHeight="1" x14ac:dyDescent="0.3">
      <c r="A25" s="7"/>
      <c r="B25" s="13"/>
      <c r="C25" s="31" t="s">
        <v>138</v>
      </c>
      <c r="D25" s="32"/>
      <c r="E25" s="33"/>
      <c r="F25" s="34"/>
      <c r="G25" s="34"/>
      <c r="H25" s="32"/>
      <c r="I25" s="32"/>
      <c r="J25" s="32"/>
      <c r="K25" s="32"/>
      <c r="L25" s="19"/>
      <c r="M25" s="19"/>
      <c r="N25" s="19"/>
      <c r="O25" s="48"/>
      <c r="P25" s="7"/>
    </row>
    <row r="26" spans="1:16" s="1" customFormat="1" ht="20.100000000000001" customHeight="1" thickBot="1" x14ac:dyDescent="0.3">
      <c r="A26" s="7"/>
      <c r="B26" s="35"/>
      <c r="C26" s="36"/>
      <c r="D26" s="37"/>
      <c r="E26" s="38"/>
      <c r="F26" s="38" t="s">
        <v>42</v>
      </c>
      <c r="G26" s="713">
        <f>L69</f>
        <v>397.99008027289881</v>
      </c>
      <c r="H26" s="714"/>
      <c r="I26" s="714"/>
      <c r="J26" s="40"/>
      <c r="K26" s="41"/>
      <c r="L26" s="39"/>
      <c r="M26" s="648"/>
      <c r="N26" s="649" t="s">
        <v>156</v>
      </c>
      <c r="O26" s="48"/>
      <c r="P26" s="7"/>
    </row>
    <row r="27" spans="1:16" s="1" customFormat="1" ht="14.1" customHeight="1" x14ac:dyDescent="0.25">
      <c r="A27" s="7"/>
      <c r="B27" s="13"/>
      <c r="C27" s="18"/>
      <c r="D27" s="15"/>
      <c r="E27" s="20"/>
      <c r="F27" s="28"/>
      <c r="G27" s="29"/>
      <c r="H27" s="30"/>
      <c r="I27" s="29"/>
      <c r="J27" s="30"/>
      <c r="K27" s="29"/>
      <c r="L27" s="19"/>
      <c r="M27" s="19"/>
      <c r="N27" s="19"/>
      <c r="O27" s="48"/>
      <c r="P27" s="7"/>
    </row>
    <row r="28" spans="1:16" s="1" customFormat="1" ht="20.100000000000001" customHeight="1" x14ac:dyDescent="0.3">
      <c r="A28" s="7"/>
      <c r="B28" s="13"/>
      <c r="C28" s="31" t="s">
        <v>139</v>
      </c>
      <c r="D28" s="32"/>
      <c r="E28" s="33"/>
      <c r="F28" s="34"/>
      <c r="G28" s="34"/>
      <c r="H28" s="32"/>
      <c r="I28" s="32"/>
      <c r="J28" s="32"/>
      <c r="K28" s="32"/>
      <c r="L28" s="19"/>
      <c r="M28" s="19"/>
      <c r="N28" s="19"/>
      <c r="O28" s="48"/>
      <c r="P28" s="7"/>
    </row>
    <row r="29" spans="1:16" s="1" customFormat="1" ht="20.100000000000001" customHeight="1" thickBot="1" x14ac:dyDescent="0.3">
      <c r="A29" s="7"/>
      <c r="B29" s="42"/>
      <c r="C29" s="43"/>
      <c r="D29" s="44"/>
      <c r="E29" s="45"/>
      <c r="F29" s="45" t="s">
        <v>140</v>
      </c>
      <c r="G29" s="715">
        <f>L72</f>
        <v>470.35191304978957</v>
      </c>
      <c r="H29" s="716"/>
      <c r="I29" s="716"/>
      <c r="J29" s="532"/>
      <c r="K29" s="46"/>
      <c r="L29" s="533"/>
      <c r="M29" s="650"/>
      <c r="N29" s="651" t="s">
        <v>156</v>
      </c>
      <c r="O29" s="48"/>
      <c r="P29" s="7"/>
    </row>
    <row r="30" spans="1:16" s="1" customFormat="1" ht="12" customHeight="1" thickBot="1" x14ac:dyDescent="0.3">
      <c r="A30" s="7"/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56"/>
      <c r="P30" s="7"/>
    </row>
    <row r="31" spans="1:16" s="1" customFormat="1" ht="20.100000000000001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1" customFormat="1" ht="12" customHeight="1" x14ac:dyDescent="0.25">
      <c r="A32" s="7"/>
      <c r="B32" s="659" t="s">
        <v>158</v>
      </c>
      <c r="C32" s="630" t="s">
        <v>159</v>
      </c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7"/>
      <c r="P32" s="7"/>
    </row>
    <row r="33" spans="1:19" s="1" customFormat="1" ht="12" customHeight="1" x14ac:dyDescent="0.25">
      <c r="A33" s="7"/>
      <c r="B33" s="7"/>
      <c r="C33" s="630" t="s">
        <v>160</v>
      </c>
      <c r="D33" s="630"/>
      <c r="E33" s="630"/>
      <c r="F33" s="630"/>
      <c r="G33" s="630"/>
      <c r="H33" s="630"/>
      <c r="I33" s="630"/>
      <c r="J33" s="630"/>
      <c r="K33" s="630"/>
      <c r="L33" s="630"/>
      <c r="M33" s="630"/>
      <c r="N33" s="630"/>
      <c r="O33" s="7"/>
      <c r="P33" s="7"/>
    </row>
    <row r="34" spans="1:19" s="1" customFormat="1" ht="12" customHeight="1" x14ac:dyDescent="0.25">
      <c r="A34" s="7"/>
      <c r="B34" s="7"/>
      <c r="C34" s="630" t="s">
        <v>161</v>
      </c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7"/>
      <c r="P34" s="7"/>
    </row>
    <row r="35" spans="1:19" s="1" customFormat="1" ht="12" customHeight="1" x14ac:dyDescent="0.25">
      <c r="A35" s="7"/>
      <c r="B35" s="7"/>
      <c r="C35" s="630" t="s">
        <v>162</v>
      </c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7"/>
      <c r="P35" s="7"/>
    </row>
    <row r="36" spans="1:19" s="1" customFormat="1" ht="12" customHeight="1" x14ac:dyDescent="0.25">
      <c r="A36" s="7"/>
      <c r="B36" s="7"/>
      <c r="C36" s="630" t="s">
        <v>163</v>
      </c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7"/>
      <c r="P36" s="7"/>
    </row>
    <row r="37" spans="1:19" s="1" customFormat="1" ht="20.100000000000001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9" ht="39.950000000000003" hidden="1" customHeight="1" x14ac:dyDescent="0.25">
      <c r="A38" s="6"/>
      <c r="B38" s="212" t="s">
        <v>74</v>
      </c>
      <c r="C38" s="213"/>
      <c r="D38" s="213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6"/>
    </row>
    <row r="39" spans="1:19" ht="15" hidden="1" customHeight="1" x14ac:dyDescent="0.3">
      <c r="A39" s="6"/>
      <c r="B39" s="215"/>
      <c r="C39" s="216"/>
      <c r="D39" s="216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563"/>
      <c r="P39" s="6"/>
    </row>
    <row r="40" spans="1:19" ht="21.95" hidden="1" customHeight="1" thickBot="1" x14ac:dyDescent="0.3">
      <c r="A40" s="6"/>
      <c r="B40" s="218"/>
      <c r="C40" s="564" t="s">
        <v>5</v>
      </c>
      <c r="D40" s="564"/>
      <c r="E40" s="565"/>
      <c r="F40" s="548">
        <f>E5</f>
        <v>1013</v>
      </c>
      <c r="G40" s="566" t="s">
        <v>2</v>
      </c>
      <c r="H40" s="708" t="s">
        <v>6</v>
      </c>
      <c r="I40" s="219" t="s">
        <v>75</v>
      </c>
      <c r="J40" s="220"/>
      <c r="K40" s="221"/>
      <c r="L40" s="221"/>
      <c r="M40" s="221"/>
      <c r="N40" s="222"/>
      <c r="O40" s="567"/>
      <c r="P40" s="6"/>
      <c r="S40" s="223"/>
    </row>
    <row r="41" spans="1:19" ht="9.9499999999999993" hidden="1" customHeight="1" thickTop="1" x14ac:dyDescent="0.25">
      <c r="A41" s="4"/>
      <c r="B41" s="218"/>
      <c r="C41" s="564"/>
      <c r="D41" s="564"/>
      <c r="E41" s="565"/>
      <c r="F41" s="565"/>
      <c r="G41" s="565"/>
      <c r="H41" s="709"/>
      <c r="I41" s="568">
        <f>F42-(F40-1013)*28</f>
        <v>0</v>
      </c>
      <c r="J41" s="569">
        <f>ROUND(I41/3.28084,0)</f>
        <v>0</v>
      </c>
      <c r="K41" s="719" t="str">
        <f>IF(J41&lt;1501,"",I41)</f>
        <v/>
      </c>
      <c r="L41" s="720"/>
      <c r="M41" s="721" t="str">
        <f>IF(J41&lt;1501,"",J41)</f>
        <v/>
      </c>
      <c r="N41" s="722"/>
      <c r="O41" s="567"/>
      <c r="P41" s="6"/>
      <c r="R41" s="224"/>
    </row>
    <row r="42" spans="1:19" ht="21.95" hidden="1" customHeight="1" thickBot="1" x14ac:dyDescent="0.3">
      <c r="A42" s="4"/>
      <c r="B42" s="218"/>
      <c r="C42" s="564" t="s">
        <v>76</v>
      </c>
      <c r="D42" s="564"/>
      <c r="E42" s="565"/>
      <c r="F42" s="548">
        <f>E7</f>
        <v>0</v>
      </c>
      <c r="G42" s="566" t="s">
        <v>1</v>
      </c>
      <c r="H42" s="709"/>
      <c r="I42" s="549">
        <f>IF(J41&lt;1501,I41,"altitude max du manuel de vol = 1500 m")</f>
        <v>0</v>
      </c>
      <c r="J42" s="225"/>
      <c r="K42" s="226"/>
      <c r="L42" s="226"/>
      <c r="M42" s="226"/>
      <c r="N42" s="561">
        <f>F42-(F40-1013)*28</f>
        <v>0</v>
      </c>
      <c r="O42" s="567"/>
      <c r="P42" s="6"/>
      <c r="S42" s="223"/>
    </row>
    <row r="43" spans="1:19" ht="9.9499999999999993" hidden="1" customHeight="1" thickTop="1" thickBot="1" x14ac:dyDescent="0.3">
      <c r="A43" s="4"/>
      <c r="B43" s="218"/>
      <c r="C43" s="570"/>
      <c r="D43" s="570"/>
      <c r="E43" s="565"/>
      <c r="F43" s="565"/>
      <c r="G43" s="571"/>
      <c r="H43" s="566"/>
      <c r="I43" s="564"/>
      <c r="J43" s="572"/>
      <c r="K43" s="572"/>
      <c r="L43" s="572"/>
      <c r="M43" s="571"/>
      <c r="N43" s="566"/>
      <c r="O43" s="567"/>
      <c r="P43" s="6"/>
    </row>
    <row r="44" spans="1:19" ht="20.100000000000001" hidden="1" customHeight="1" thickBot="1" x14ac:dyDescent="0.3">
      <c r="A44" s="4"/>
      <c r="B44" s="218"/>
      <c r="C44" s="227" t="s">
        <v>77</v>
      </c>
      <c r="D44" s="227"/>
      <c r="E44" s="228" t="s">
        <v>0</v>
      </c>
      <c r="F44" s="229"/>
      <c r="G44" s="508" t="s">
        <v>78</v>
      </c>
      <c r="H44" s="508"/>
      <c r="I44" s="508"/>
      <c r="J44" s="508"/>
      <c r="K44" s="509" t="s">
        <v>79</v>
      </c>
      <c r="L44" s="508"/>
      <c r="M44" s="508"/>
      <c r="N44" s="510"/>
      <c r="O44" s="567"/>
      <c r="P44" s="6"/>
    </row>
    <row r="45" spans="1:19" ht="20.100000000000001" hidden="1" customHeight="1" thickBot="1" x14ac:dyDescent="0.3">
      <c r="A45" s="4"/>
      <c r="B45" s="218"/>
      <c r="C45" s="233" t="s">
        <v>80</v>
      </c>
      <c r="D45" s="233"/>
      <c r="E45" s="234"/>
      <c r="F45" s="235"/>
      <c r="G45" s="511" t="s">
        <v>81</v>
      </c>
      <c r="H45" s="512"/>
      <c r="I45" s="511" t="s">
        <v>82</v>
      </c>
      <c r="J45" s="512"/>
      <c r="K45" s="511" t="s">
        <v>81</v>
      </c>
      <c r="L45" s="513"/>
      <c r="M45" s="512" t="s">
        <v>82</v>
      </c>
      <c r="N45" s="513"/>
      <c r="O45" s="567"/>
      <c r="P45" s="6"/>
    </row>
    <row r="46" spans="1:19" ht="18" hidden="1" customHeight="1" x14ac:dyDescent="0.25">
      <c r="A46" s="4"/>
      <c r="B46" s="218"/>
      <c r="C46" s="231"/>
      <c r="D46" s="232"/>
      <c r="E46" s="239"/>
      <c r="F46" s="240">
        <v>0</v>
      </c>
      <c r="G46" s="514">
        <f>IF($C$47&lt;=$C$86,G80+($C$47-$C$82)*(G84-G80)/($C$86-$C$82),IF($C$47&lt;=$C$90,G84+($C$47-$C$86)*(G88-G84)/($C$90-$C$86),G88+($C$47-$C$90)*(G92-G88)/($C$94-$C$90)))</f>
        <v>440</v>
      </c>
      <c r="H46" s="515">
        <f>G46*60/100</f>
        <v>264</v>
      </c>
      <c r="I46" s="514">
        <f>IF($C$47&lt;=$C$86,I80+($C$47-$C$82)*(I84-I80)/($C$86-$C$82),IF($C$47&lt;=$C$90,I84+($C$47-$C$86)*(I88-I84)/($C$90-$C$86),I88+($C$47-$C$90)*(I92-I88)/($C$94-$C$90)))</f>
        <v>520</v>
      </c>
      <c r="J46" s="515">
        <f>I46*70/100</f>
        <v>364</v>
      </c>
      <c r="K46" s="516">
        <f>IF($C$47&lt;=$C$86,K80+($C$47-$C$82)*(K84-K80)/($C$86-$C$82),IF($C$47&lt;=$C$90,K84+($C$47-$C$86)*(K88-K84)/($C$90-$C$86),K88+($C$47-$C$90)*(K92-K88)/($C$94-$C$90)))</f>
        <v>261.61126433444622</v>
      </c>
      <c r="L46" s="517">
        <f>K46*60/100</f>
        <v>156.96675860066773</v>
      </c>
      <c r="M46" s="516">
        <f>IF($C$47&lt;=$C$86,M80+($C$47-$C$82)*(M84-M80)/($C$86-$C$82),IF($C$47&lt;=$C$90,M84+($C$47-$C$86)*(M88-M84)/($C$90-$C$86),M88+($C$47-$C$90)*(M92-M88)/($C$94-$C$90)))</f>
        <v>309.176948758891</v>
      </c>
      <c r="N46" s="517">
        <f>M46*70/100</f>
        <v>216.4238641312237</v>
      </c>
      <c r="O46" s="567"/>
      <c r="P46" s="6"/>
    </row>
    <row r="47" spans="1:19" ht="18" hidden="1" customHeight="1" x14ac:dyDescent="0.25">
      <c r="A47" s="4"/>
      <c r="B47" s="218"/>
      <c r="C47" s="241">
        <f>IF(J41&lt;1501,IF(F61&lt;841,I41,"#####"),"#####")</f>
        <v>0</v>
      </c>
      <c r="D47" s="242"/>
      <c r="E47" s="243"/>
      <c r="F47" s="244">
        <v>15</v>
      </c>
      <c r="G47" s="518">
        <f>IF($C$47&lt;=$C$86,G81+($C$47-$C$82)*(G85-G81)/($C$86-$C$82),IF($C$47&lt;=$C$90,G85+($C$47-$C$86)*(G89-G85)/($C$90-$C$86),G89+($C$47-$C$90)*(G93-G89)/($C$94-$C$90)))</f>
        <v>470</v>
      </c>
      <c r="H47" s="519">
        <f>G47*60/100</f>
        <v>282</v>
      </c>
      <c r="I47" s="518">
        <f>IF($C$47&lt;=$C$86,I81+($C$47-$C$82)*(I85-I81)/($C$86-$C$82),IF($C$47&lt;=$C$90,I85+($C$47-$C$86)*(I89-I85)/($C$90-$C$86),I89+($C$47-$C$90)*(I93-I89)/($C$94-$C$90)))</f>
        <v>560</v>
      </c>
      <c r="J47" s="519">
        <f>I47*70/100</f>
        <v>392</v>
      </c>
      <c r="K47" s="520">
        <f>IF($C$47&lt;=$C$86,K81+($C$47-$C$82)*(K85-K81)/($C$86-$C$82),IF($C$47&lt;=$C$90,K85+($C$47-$C$86)*(K89-K85)/($C$90-$C$86),K89+($C$47-$C$90)*(K93-K89)/($C$94-$C$90)))</f>
        <v>279.44839599361302</v>
      </c>
      <c r="L47" s="521">
        <f>K47*60/100</f>
        <v>167.66903759616781</v>
      </c>
      <c r="M47" s="520">
        <f>IF($C$47&lt;=$C$86,M81+($C$47-$C$82)*(M85-M81)/($C$86-$C$82),IF($C$47&lt;=$C$90,M85+($C$47-$C$86)*(M89-M85)/($C$90-$C$86),M89+($C$47-$C$90)*(M93-M89)/($C$94-$C$90)))</f>
        <v>332.95979097111342</v>
      </c>
      <c r="N47" s="521">
        <f>M47*70/100</f>
        <v>233.07185367977937</v>
      </c>
      <c r="O47" s="567"/>
      <c r="P47" s="6"/>
    </row>
    <row r="48" spans="1:19" ht="18" hidden="1" customHeight="1" x14ac:dyDescent="0.25">
      <c r="A48" s="4"/>
      <c r="B48" s="218"/>
      <c r="C48" s="241"/>
      <c r="D48" s="242"/>
      <c r="E48" s="245"/>
      <c r="F48" s="246">
        <v>30</v>
      </c>
      <c r="G48" s="518">
        <f>IF($C$47&lt;=$C$86,G82+($C$47-$C$82)*(G86-G82)/($C$86-$C$82),IF($C$47&lt;=$C$90,G86+($C$47-$C$86)*(G90-G86)/($C$90-$C$86),G90+($C$47-$C$90)*(G94-G90)/($C$94-$C$90)))</f>
        <v>500</v>
      </c>
      <c r="H48" s="519">
        <f>G48*60/100</f>
        <v>300</v>
      </c>
      <c r="I48" s="518">
        <f>IF($C$47&lt;=$C$86,I82+($C$47-$C$82)*(I86-I82)/($C$86-$C$82),IF($C$47&lt;=$C$90,I86+($C$47-$C$86)*(I90-I86)/($C$90-$C$86),I90+($C$47-$C$90)*(I94-I90)/($C$94-$C$90)))</f>
        <v>600</v>
      </c>
      <c r="J48" s="519">
        <f>I48*70/100</f>
        <v>420</v>
      </c>
      <c r="K48" s="520">
        <f>IF($C$47&lt;=$C$86,K82+($C$47-$C$82)*(K86-K82)/($C$86-$C$82),IF($C$47&lt;=$C$90,K86+($C$47-$C$86)*(K90-K86)/($C$90-$C$86),K90+($C$47-$C$90)*(K94-K90)/($C$94-$C$90)))</f>
        <v>297.28552765277982</v>
      </c>
      <c r="L48" s="521">
        <f>K48*60/100</f>
        <v>178.37131659166789</v>
      </c>
      <c r="M48" s="520">
        <f>IF($C$47&lt;=$C$86,M82+($C$47-$C$82)*(M86-M82)/($C$86-$C$82),IF($C$47&lt;=$C$90,M86+($C$47-$C$86)*(M90-M86)/($C$90-$C$86),M90+($C$47-$C$90)*(M94-M90)/($C$94-$C$90)))</f>
        <v>356.74263318333578</v>
      </c>
      <c r="N48" s="521">
        <f>M48*70/100</f>
        <v>249.71984322833504</v>
      </c>
      <c r="O48" s="567"/>
      <c r="P48" s="6"/>
    </row>
    <row r="49" spans="1:16" ht="18" hidden="1" customHeight="1" thickBot="1" x14ac:dyDescent="0.3">
      <c r="A49" s="4"/>
      <c r="B49" s="218"/>
      <c r="C49" s="247"/>
      <c r="D49" s="248"/>
      <c r="E49" s="249"/>
      <c r="F49" s="250">
        <v>45</v>
      </c>
      <c r="G49" s="522">
        <f>IF($C$47&lt;=$C$86,G83+($C$47-$C$82)*(G87-G83)/($C$86-$C$82),IF($C$47&lt;=$C$90,G87+($C$47-$C$86)*(G91-G87)/($C$90-$C$86),G91+($C$47-$C$90)*(G95-G91)/($C$94-$C$90)))</f>
        <v>540</v>
      </c>
      <c r="H49" s="523">
        <f>G49*60/100</f>
        <v>324</v>
      </c>
      <c r="I49" s="522">
        <f>IF($C$47&lt;=$C$86,I83+($C$47-$C$82)*(I87-I83)/($C$86-$C$82),IF($C$47&lt;=$C$90,I87+($C$47-$C$86)*(I91-I87)/($C$90-$C$86),I91+($C$47-$C$90)*(I95-I91)/($C$94-$C$90)))</f>
        <v>660</v>
      </c>
      <c r="J49" s="523">
        <f>I49*70/100</f>
        <v>462</v>
      </c>
      <c r="K49" s="524">
        <f>IF($C$47&lt;=$C$86,K83+($C$47-$C$82)*(K87-K83)/($C$86-$C$82),IF($C$47&lt;=$C$90,K87+($C$47-$C$86)*(K91-K87)/($C$90-$C$86),K91+($C$47-$C$90)*(K95-K91)/($C$94-$C$90)))</f>
        <v>321.06836986500218</v>
      </c>
      <c r="L49" s="525">
        <f>K49*60/100</f>
        <v>192.64102191900133</v>
      </c>
      <c r="M49" s="524">
        <f>IF($C$47&lt;=$C$86,M83+($C$47-$C$82)*(M87-M83)/($C$86-$C$82),IF($C$47&lt;=$C$90,M87+($C$47-$C$86)*(M91-M87)/($C$90-$C$86),M91+($C$47-$C$90)*(M95-M91)/($C$94-$C$90)))</f>
        <v>392.41689650166938</v>
      </c>
      <c r="N49" s="525">
        <f>M49*70/100</f>
        <v>274.69182755116856</v>
      </c>
      <c r="O49" s="567"/>
      <c r="P49" s="6"/>
    </row>
    <row r="50" spans="1:16" ht="9.9499999999999993" hidden="1" customHeight="1" x14ac:dyDescent="0.25">
      <c r="A50" s="4"/>
      <c r="B50" s="218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567"/>
      <c r="P50" s="6"/>
    </row>
    <row r="51" spans="1:16" ht="21.95" hidden="1" customHeight="1" thickBot="1" x14ac:dyDescent="0.3">
      <c r="A51" s="4"/>
      <c r="B51" s="218"/>
      <c r="C51" s="564" t="s">
        <v>0</v>
      </c>
      <c r="D51" s="564"/>
      <c r="E51" s="565"/>
      <c r="F51" s="548">
        <f>E9</f>
        <v>0</v>
      </c>
      <c r="G51" s="566" t="s">
        <v>10</v>
      </c>
      <c r="H51" s="573"/>
      <c r="I51" s="574"/>
      <c r="J51" s="575"/>
      <c r="K51" s="576"/>
      <c r="L51" s="576"/>
      <c r="M51" s="576"/>
      <c r="N51" s="576"/>
      <c r="O51" s="567"/>
      <c r="P51" s="6"/>
    </row>
    <row r="52" spans="1:16" ht="9.9499999999999993" hidden="1" customHeight="1" thickTop="1" thickBot="1" x14ac:dyDescent="0.3">
      <c r="A52" s="4"/>
      <c r="B52" s="218"/>
      <c r="C52" s="564"/>
      <c r="D52" s="564"/>
      <c r="E52" s="565"/>
      <c r="F52" s="565"/>
      <c r="G52" s="566"/>
      <c r="H52" s="573"/>
      <c r="I52" s="575"/>
      <c r="J52" s="575"/>
      <c r="K52" s="576"/>
      <c r="L52" s="576"/>
      <c r="M52" s="576"/>
      <c r="N52" s="576"/>
      <c r="O52" s="567"/>
      <c r="P52" s="6"/>
    </row>
    <row r="53" spans="1:16" ht="20.100000000000001" hidden="1" customHeight="1" thickBot="1" x14ac:dyDescent="0.3">
      <c r="A53" s="4"/>
      <c r="B53" s="218"/>
      <c r="C53" s="570"/>
      <c r="D53" s="570"/>
      <c r="E53" s="565"/>
      <c r="F53" s="565">
        <f>IF(F51&lt;46,F51,"#####")</f>
        <v>0</v>
      </c>
      <c r="G53" s="252">
        <f>IF($F$53&lt;$F$47,G46+($F$53-$F$46)*(G47-G46)/($F$47-$F$46),IF($F$53&lt;$F$48,G47+($F$53-$F$47)*(G48-G47)/($F$48-$F$47),G48+($F$53-$F$48)*(G49-G48)/($F$49-$F$48)))</f>
        <v>440</v>
      </c>
      <c r="H53" s="253">
        <f>G53*60/100</f>
        <v>264</v>
      </c>
      <c r="I53" s="252">
        <f>IF($F$53&lt;$F$47,I46+($F$53-$F$46)*(I47-I46)/($F$47-$F$46),IF($F$53&lt;$F$48,I47+($F$53-$F$47)*(I48-I47)/($F$48-$F$47),I48+($F$53-$F$48)*(I49-I48)/($F$49-$F$48)))</f>
        <v>520</v>
      </c>
      <c r="J53" s="253">
        <f>I53*70/100</f>
        <v>364</v>
      </c>
      <c r="K53" s="252">
        <f>IF($F$53&lt;$F$47,K46+($F$53-$F$46)*(K47-K46)/($F$47-$F$46),IF($F$53&lt;$F$48,K47+($F$53-$F$47)*(K48-K47)/($F$48-$F$47),K48+($F$53-$F$48)*(K49-K48)/($F$49-$F$48)))</f>
        <v>261.61126433444622</v>
      </c>
      <c r="L53" s="254">
        <f>K53*60/100</f>
        <v>156.96675860066773</v>
      </c>
      <c r="M53" s="252">
        <f>IF($F$53&lt;$F$47,M46+($F$53-$F$46)*(M47-M46)/($F$47-$F$46),IF($F$53&lt;$F$48,M47+($F$53-$F$47)*(M48-M47)/($F$48-$F$47),M48+($F$53-$F$48)*(M49-M48)/($F$49-$F$48)))</f>
        <v>309.176948758891</v>
      </c>
      <c r="N53" s="254">
        <f>M53*70/100</f>
        <v>216.4238641312237</v>
      </c>
      <c r="O53" s="567"/>
      <c r="P53" s="6"/>
    </row>
    <row r="54" spans="1:16" ht="9.9499999999999993" hidden="1" customHeight="1" x14ac:dyDescent="0.25">
      <c r="A54" s="4"/>
      <c r="B54" s="218"/>
      <c r="C54" s="570"/>
      <c r="D54" s="570"/>
      <c r="E54" s="565"/>
      <c r="F54" s="577"/>
      <c r="G54" s="578"/>
      <c r="H54" s="579"/>
      <c r="I54" s="580"/>
      <c r="J54" s="579"/>
      <c r="K54" s="580"/>
      <c r="L54" s="579"/>
      <c r="M54" s="580"/>
      <c r="N54" s="579"/>
      <c r="O54" s="567"/>
      <c r="P54" s="6"/>
    </row>
    <row r="55" spans="1:16" ht="21.95" hidden="1" customHeight="1" thickBot="1" x14ac:dyDescent="0.3">
      <c r="A55" s="4"/>
      <c r="B55" s="218"/>
      <c r="C55" s="564" t="s">
        <v>83</v>
      </c>
      <c r="D55" s="564"/>
      <c r="E55" s="565"/>
      <c r="F55" s="548">
        <f>E11</f>
        <v>0</v>
      </c>
      <c r="G55" s="566" t="s">
        <v>3</v>
      </c>
      <c r="H55" s="581" t="s">
        <v>84</v>
      </c>
      <c r="I55" s="582" t="s">
        <v>85</v>
      </c>
      <c r="J55" s="575"/>
      <c r="K55" s="576"/>
      <c r="L55" s="576"/>
      <c r="M55" s="576"/>
      <c r="N55" s="576"/>
      <c r="O55" s="567"/>
      <c r="P55" s="6"/>
    </row>
    <row r="56" spans="1:16" ht="9.9499999999999993" hidden="1" customHeight="1" thickTop="1" thickBot="1" x14ac:dyDescent="0.3">
      <c r="A56" s="4"/>
      <c r="B56" s="218"/>
      <c r="C56" s="564"/>
      <c r="D56" s="564"/>
      <c r="E56" s="565"/>
      <c r="F56" s="565"/>
      <c r="G56" s="566"/>
      <c r="H56" s="583"/>
      <c r="I56" s="575"/>
      <c r="J56" s="575"/>
      <c r="K56" s="576"/>
      <c r="L56" s="576"/>
      <c r="M56" s="576"/>
      <c r="N56" s="576"/>
      <c r="O56" s="567"/>
      <c r="P56" s="6"/>
    </row>
    <row r="57" spans="1:16" ht="20.100000000000001" hidden="1" customHeight="1" thickBot="1" x14ac:dyDescent="0.3">
      <c r="A57" s="4"/>
      <c r="B57" s="218"/>
      <c r="C57" s="572" t="s">
        <v>86</v>
      </c>
      <c r="D57" s="572"/>
      <c r="E57" s="584"/>
      <c r="F57" s="585">
        <f>IF(F55&gt;=0,IF(F55&lt;G98,1+(F55)*(J98-1)/(G98-0),IF(F55&lt;G99,J98+(F55-G98)*(J99-J98)/(G99-G98),J99+(F55-G99)*(J100-J99)/(G100-G99))),1+0.1*IF(INT(-F55/2)&lt;&gt;-F55/2,INT(-F55/2+1),INT(-F55/2)))</f>
        <v>1</v>
      </c>
      <c r="G57" s="586"/>
      <c r="H57" s="566"/>
      <c r="I57" s="255"/>
      <c r="J57" s="256" t="s">
        <v>25</v>
      </c>
      <c r="K57" s="257">
        <f>F61</f>
        <v>734.7</v>
      </c>
      <c r="L57" s="258" t="s">
        <v>4</v>
      </c>
      <c r="M57" s="572"/>
      <c r="N57" s="572"/>
      <c r="O57" s="567"/>
      <c r="P57" s="6"/>
    </row>
    <row r="58" spans="1:16" ht="20.100000000000001" hidden="1" customHeight="1" thickBot="1" x14ac:dyDescent="0.3">
      <c r="A58" s="4"/>
      <c r="B58" s="218"/>
      <c r="C58" s="570"/>
      <c r="D58" s="570"/>
      <c r="E58" s="565"/>
      <c r="F58" s="587"/>
      <c r="G58" s="572"/>
      <c r="H58" s="566"/>
      <c r="I58" s="236" t="s">
        <v>81</v>
      </c>
      <c r="J58" s="237"/>
      <c r="K58" s="236" t="s">
        <v>82</v>
      </c>
      <c r="L58" s="238"/>
      <c r="M58" s="572"/>
      <c r="N58" s="572"/>
      <c r="O58" s="567"/>
      <c r="P58" s="6"/>
    </row>
    <row r="59" spans="1:16" ht="20.100000000000001" hidden="1" customHeight="1" thickBot="1" x14ac:dyDescent="0.3">
      <c r="A59" s="4"/>
      <c r="B59" s="218"/>
      <c r="C59" s="570"/>
      <c r="D59" s="570"/>
      <c r="E59" s="565"/>
      <c r="F59" s="587"/>
      <c r="G59" s="572"/>
      <c r="H59" s="572"/>
      <c r="I59" s="252">
        <f>I65*F57</f>
        <v>346.07833067208594</v>
      </c>
      <c r="J59" s="253">
        <f>J65*F57</f>
        <v>207.64699840325159</v>
      </c>
      <c r="K59" s="252">
        <f>K65*F57</f>
        <v>409.00166352155617</v>
      </c>
      <c r="L59" s="253">
        <f>L65*F57</f>
        <v>286.3011644650893</v>
      </c>
      <c r="M59" s="588"/>
      <c r="N59" s="588"/>
      <c r="O59" s="567"/>
      <c r="P59" s="6"/>
    </row>
    <row r="60" spans="1:16" ht="9.9499999999999993" hidden="1" customHeight="1" x14ac:dyDescent="0.25">
      <c r="A60" s="4"/>
      <c r="B60" s="218"/>
      <c r="C60" s="570"/>
      <c r="D60" s="570"/>
      <c r="E60" s="565"/>
      <c r="F60" s="577"/>
      <c r="G60" s="589"/>
      <c r="H60" s="590"/>
      <c r="I60" s="591"/>
      <c r="J60" s="590"/>
      <c r="K60" s="591"/>
      <c r="L60" s="590"/>
      <c r="M60" s="591"/>
      <c r="N60" s="590"/>
      <c r="O60" s="567"/>
      <c r="P60" s="6"/>
    </row>
    <row r="61" spans="1:16" ht="21.95" hidden="1" customHeight="1" thickBot="1" x14ac:dyDescent="0.3">
      <c r="A61" s="4"/>
      <c r="B61" s="218"/>
      <c r="C61" s="564" t="s">
        <v>50</v>
      </c>
      <c r="D61" s="564"/>
      <c r="E61" s="565"/>
      <c r="F61" s="548">
        <f>E13</f>
        <v>734.7</v>
      </c>
      <c r="G61" s="566" t="s">
        <v>4</v>
      </c>
      <c r="H61" s="573"/>
      <c r="I61" s="592" t="str">
        <f>IF(F61&lt;=840," ","masse maximale 840 kg dépassée")</f>
        <v xml:space="preserve"> </v>
      </c>
      <c r="J61" s="575"/>
      <c r="K61" s="576"/>
      <c r="L61" s="576"/>
      <c r="M61" s="576"/>
      <c r="N61" s="593"/>
      <c r="O61" s="567"/>
      <c r="P61" s="6"/>
    </row>
    <row r="62" spans="1:16" ht="9.9499999999999993" hidden="1" customHeight="1" thickTop="1" thickBot="1" x14ac:dyDescent="0.3">
      <c r="A62" s="4"/>
      <c r="B62" s="218"/>
      <c r="C62" s="564"/>
      <c r="D62" s="564"/>
      <c r="E62" s="565"/>
      <c r="F62" s="565"/>
      <c r="G62" s="566"/>
      <c r="H62" s="573"/>
      <c r="I62" s="573"/>
      <c r="J62" s="575"/>
      <c r="K62" s="576"/>
      <c r="L62" s="576"/>
      <c r="M62" s="576"/>
      <c r="N62" s="576"/>
      <c r="O62" s="567"/>
      <c r="P62" s="6"/>
    </row>
    <row r="63" spans="1:16" ht="20.100000000000001" hidden="1" customHeight="1" thickBot="1" x14ac:dyDescent="0.3">
      <c r="A63" s="4"/>
      <c r="B63" s="218"/>
      <c r="C63" s="586" t="s">
        <v>87</v>
      </c>
      <c r="D63" s="586"/>
      <c r="E63" s="584"/>
      <c r="F63" s="584">
        <v>840</v>
      </c>
      <c r="G63" s="586" t="s">
        <v>4</v>
      </c>
      <c r="H63" s="594"/>
      <c r="I63" s="255"/>
      <c r="J63" s="256" t="s">
        <v>25</v>
      </c>
      <c r="K63" s="257">
        <f>F61</f>
        <v>734.7</v>
      </c>
      <c r="L63" s="258" t="s">
        <v>4</v>
      </c>
      <c r="M63" s="576"/>
      <c r="N63" s="576"/>
      <c r="O63" s="567"/>
      <c r="P63" s="6"/>
    </row>
    <row r="64" spans="1:16" ht="20.100000000000001" hidden="1" customHeight="1" thickBot="1" x14ac:dyDescent="0.3">
      <c r="A64" s="4"/>
      <c r="B64" s="218"/>
      <c r="C64" s="564" t="s">
        <v>88</v>
      </c>
      <c r="D64" s="564"/>
      <c r="E64" s="565"/>
      <c r="F64" s="584">
        <v>640</v>
      </c>
      <c r="G64" s="572" t="s">
        <v>4</v>
      </c>
      <c r="H64" s="594"/>
      <c r="I64" s="236" t="s">
        <v>81</v>
      </c>
      <c r="J64" s="237"/>
      <c r="K64" s="236" t="s">
        <v>82</v>
      </c>
      <c r="L64" s="238"/>
      <c r="M64" s="576"/>
      <c r="N64" s="576"/>
      <c r="O64" s="567"/>
      <c r="P64" s="6"/>
    </row>
    <row r="65" spans="1:16" ht="20.100000000000001" hidden="1" customHeight="1" thickBot="1" x14ac:dyDescent="0.3">
      <c r="A65" s="4"/>
      <c r="B65" s="218"/>
      <c r="C65" s="570"/>
      <c r="D65" s="570"/>
      <c r="E65" s="565"/>
      <c r="F65" s="565">
        <f>IF(F61&lt;841,F61,"#####")</f>
        <v>734.7</v>
      </c>
      <c r="G65" s="572"/>
      <c r="H65" s="576"/>
      <c r="I65" s="252">
        <f>K53+($F$65-$F$64)*(G53-K53)/($F$63-$F$64)</f>
        <v>346.07833067208594</v>
      </c>
      <c r="J65" s="253">
        <f>L53+($F$65-$F$64)*(H53-L53)/($F$63-$F$64)</f>
        <v>207.64699840325159</v>
      </c>
      <c r="K65" s="252">
        <f>M53+($F$65-$F$64)*(I53-M53)/($F$63-$F$64)</f>
        <v>409.00166352155617</v>
      </c>
      <c r="L65" s="253">
        <f>N53+($F$65-$F$64)*(J53-N53)/($F$63-$F$64)</f>
        <v>286.3011644650893</v>
      </c>
      <c r="M65" s="591"/>
      <c r="N65" s="591"/>
      <c r="O65" s="567"/>
      <c r="P65" s="6"/>
    </row>
    <row r="66" spans="1:16" ht="20.100000000000001" hidden="1" customHeight="1" x14ac:dyDescent="0.25">
      <c r="A66" s="4"/>
      <c r="B66" s="218"/>
      <c r="C66" s="570"/>
      <c r="D66" s="570"/>
      <c r="E66" s="565"/>
      <c r="F66" s="577"/>
      <c r="G66" s="588"/>
      <c r="H66" s="590"/>
      <c r="I66" s="591"/>
      <c r="J66" s="590"/>
      <c r="K66" s="591"/>
      <c r="L66" s="590"/>
      <c r="M66" s="591"/>
      <c r="N66" s="590"/>
      <c r="O66" s="567"/>
      <c r="P66" s="6"/>
    </row>
    <row r="67" spans="1:16" ht="35.1" hidden="1" customHeight="1" x14ac:dyDescent="0.3">
      <c r="A67" s="4"/>
      <c r="B67" s="218"/>
      <c r="C67" s="259" t="s">
        <v>89</v>
      </c>
      <c r="D67" s="595"/>
      <c r="E67" s="596"/>
      <c r="F67" s="260"/>
      <c r="G67" s="261"/>
      <c r="H67" s="261"/>
      <c r="I67" s="596"/>
      <c r="J67" s="596"/>
      <c r="K67" s="596"/>
      <c r="L67" s="596"/>
      <c r="M67" s="596"/>
      <c r="N67" s="596"/>
      <c r="O67" s="567"/>
      <c r="P67" s="6"/>
    </row>
    <row r="68" spans="1:16" ht="12" hidden="1" customHeight="1" thickBot="1" x14ac:dyDescent="0.3">
      <c r="A68" s="4"/>
      <c r="B68" s="218"/>
      <c r="C68" s="262"/>
      <c r="D68" s="263"/>
      <c r="E68" s="264"/>
      <c r="F68" s="265"/>
      <c r="G68" s="265"/>
      <c r="H68" s="265"/>
      <c r="I68" s="265"/>
      <c r="J68" s="266"/>
      <c r="K68" s="267" t="s">
        <v>90</v>
      </c>
      <c r="L68" s="268">
        <f>I59</f>
        <v>346.07833067208594</v>
      </c>
      <c r="M68" s="269" t="s">
        <v>91</v>
      </c>
      <c r="N68" s="270"/>
      <c r="O68" s="567"/>
      <c r="P68" s="6"/>
    </row>
    <row r="69" spans="1:16" ht="39.950000000000003" hidden="1" customHeight="1" thickBot="1" x14ac:dyDescent="0.3">
      <c r="A69" s="4"/>
      <c r="B69" s="218"/>
      <c r="C69" s="271"/>
      <c r="D69" s="272"/>
      <c r="E69" s="273"/>
      <c r="F69" s="273"/>
      <c r="G69" s="273"/>
      <c r="H69" s="273"/>
      <c r="I69" s="273"/>
      <c r="J69" s="274"/>
      <c r="K69" s="275" t="s">
        <v>92</v>
      </c>
      <c r="L69" s="276">
        <f>L68*1.15</f>
        <v>397.99008027289881</v>
      </c>
      <c r="M69" s="277" t="s">
        <v>91</v>
      </c>
      <c r="N69" s="526" t="s">
        <v>142</v>
      </c>
      <c r="O69" s="567"/>
      <c r="P69" s="6"/>
    </row>
    <row r="70" spans="1:16" ht="45" hidden="1" customHeight="1" thickTop="1" x14ac:dyDescent="0.3">
      <c r="A70" s="4"/>
      <c r="B70" s="218"/>
      <c r="C70" s="259" t="s">
        <v>93</v>
      </c>
      <c r="D70" s="595"/>
      <c r="E70" s="596"/>
      <c r="F70" s="260"/>
      <c r="G70" s="261"/>
      <c r="H70" s="261"/>
      <c r="I70" s="596"/>
      <c r="J70" s="596"/>
      <c r="K70" s="596"/>
      <c r="L70" s="596"/>
      <c r="M70" s="596"/>
      <c r="N70" s="596"/>
      <c r="O70" s="567"/>
      <c r="P70" s="6"/>
    </row>
    <row r="71" spans="1:16" ht="12" hidden="1" customHeight="1" thickBot="1" x14ac:dyDescent="0.3">
      <c r="A71" s="4"/>
      <c r="B71" s="218"/>
      <c r="C71" s="278"/>
      <c r="D71" s="279"/>
      <c r="E71" s="280"/>
      <c r="F71" s="280"/>
      <c r="G71" s="280"/>
      <c r="H71" s="280"/>
      <c r="I71" s="280"/>
      <c r="J71" s="268"/>
      <c r="K71" s="267" t="s">
        <v>90</v>
      </c>
      <c r="L71" s="268">
        <f>K59</f>
        <v>409.00166352155617</v>
      </c>
      <c r="M71" s="280" t="s">
        <v>91</v>
      </c>
      <c r="N71" s="281"/>
      <c r="O71" s="567"/>
      <c r="P71" s="6"/>
    </row>
    <row r="72" spans="1:16" ht="39.950000000000003" hidden="1" customHeight="1" thickBot="1" x14ac:dyDescent="0.3">
      <c r="A72" s="4"/>
      <c r="B72" s="218"/>
      <c r="C72" s="282"/>
      <c r="D72" s="283"/>
      <c r="E72" s="284"/>
      <c r="F72" s="284"/>
      <c r="G72" s="284"/>
      <c r="H72" s="284"/>
      <c r="I72" s="284"/>
      <c r="J72" s="285"/>
      <c r="K72" s="286" t="s">
        <v>94</v>
      </c>
      <c r="L72" s="287">
        <f>K59*1.15</f>
        <v>470.35191304978957</v>
      </c>
      <c r="M72" s="288" t="s">
        <v>91</v>
      </c>
      <c r="N72" s="527" t="s">
        <v>142</v>
      </c>
      <c r="O72" s="567"/>
      <c r="P72" s="6"/>
    </row>
    <row r="73" spans="1:16" ht="15" hidden="1" customHeight="1" thickTop="1" thickBot="1" x14ac:dyDescent="0.3">
      <c r="A73" s="4"/>
      <c r="B73" s="597"/>
      <c r="C73" s="598"/>
      <c r="D73" s="598"/>
      <c r="E73" s="598"/>
      <c r="F73" s="598"/>
      <c r="G73" s="598"/>
      <c r="H73" s="598"/>
      <c r="I73" s="598"/>
      <c r="J73" s="598"/>
      <c r="K73" s="598"/>
      <c r="L73" s="598"/>
      <c r="M73" s="598"/>
      <c r="N73" s="598"/>
      <c r="O73" s="235"/>
      <c r="P73" s="6"/>
    </row>
    <row r="74" spans="1:16" ht="20.100000000000001" hidden="1" customHeight="1" x14ac:dyDescent="0.25">
      <c r="A74" s="4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6"/>
    </row>
    <row r="75" spans="1:16" ht="30" hidden="1" customHeight="1" x14ac:dyDescent="0.25">
      <c r="A75" s="4"/>
      <c r="B75" s="289" t="s">
        <v>95</v>
      </c>
      <c r="C75" s="290"/>
      <c r="D75" s="290"/>
      <c r="E75" s="289"/>
      <c r="F75" s="291"/>
      <c r="G75" s="291"/>
      <c r="H75" s="291"/>
      <c r="I75" s="291"/>
      <c r="J75" s="291"/>
      <c r="K75" s="291"/>
      <c r="L75" s="291"/>
      <c r="M75" s="291"/>
      <c r="N75" s="291"/>
      <c r="O75" s="3"/>
      <c r="P75" s="6"/>
    </row>
    <row r="76" spans="1:16" ht="24.95" hidden="1" customHeight="1" x14ac:dyDescent="0.25">
      <c r="A76" s="4"/>
      <c r="B76" s="292"/>
      <c r="C76" s="293" t="s">
        <v>96</v>
      </c>
      <c r="D76" s="293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5"/>
      <c r="P76" s="6"/>
    </row>
    <row r="77" spans="1:16" ht="20.100000000000001" hidden="1" customHeight="1" thickBot="1" x14ac:dyDescent="0.3">
      <c r="A77" s="4"/>
      <c r="B77" s="296"/>
      <c r="C77" s="297" t="s">
        <v>97</v>
      </c>
      <c r="D77" s="297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9"/>
      <c r="P77" s="6"/>
    </row>
    <row r="78" spans="1:16" ht="18" hidden="1" customHeight="1" thickBot="1" x14ac:dyDescent="0.3">
      <c r="A78" s="4"/>
      <c r="B78" s="300"/>
      <c r="C78" s="301" t="s">
        <v>77</v>
      </c>
      <c r="D78" s="301"/>
      <c r="E78" s="302" t="s">
        <v>0</v>
      </c>
      <c r="F78" s="303"/>
      <c r="G78" s="304" t="s">
        <v>78</v>
      </c>
      <c r="H78" s="304"/>
      <c r="I78" s="304"/>
      <c r="J78" s="304"/>
      <c r="K78" s="305" t="s">
        <v>79</v>
      </c>
      <c r="L78" s="304"/>
      <c r="M78" s="304"/>
      <c r="N78" s="306"/>
      <c r="O78" s="307"/>
      <c r="P78" s="6"/>
    </row>
    <row r="79" spans="1:16" ht="18" hidden="1" customHeight="1" thickBot="1" x14ac:dyDescent="0.3">
      <c r="A79" s="4"/>
      <c r="B79" s="300"/>
      <c r="C79" s="308" t="s">
        <v>98</v>
      </c>
      <c r="D79" s="308"/>
      <c r="E79" s="309"/>
      <c r="F79" s="310"/>
      <c r="G79" s="311" t="s">
        <v>81</v>
      </c>
      <c r="H79" s="312"/>
      <c r="I79" s="311" t="s">
        <v>82</v>
      </c>
      <c r="J79" s="312"/>
      <c r="K79" s="311" t="s">
        <v>81</v>
      </c>
      <c r="L79" s="313"/>
      <c r="M79" s="312" t="s">
        <v>82</v>
      </c>
      <c r="N79" s="313"/>
      <c r="O79" s="307"/>
      <c r="P79" s="6"/>
    </row>
    <row r="80" spans="1:16" ht="18" hidden="1" customHeight="1" x14ac:dyDescent="0.25">
      <c r="A80" s="4"/>
      <c r="B80" s="300"/>
      <c r="C80" s="301"/>
      <c r="D80" s="314"/>
      <c r="E80" s="315"/>
      <c r="F80" s="316">
        <v>0</v>
      </c>
      <c r="G80" s="317">
        <f>F110</f>
        <v>440</v>
      </c>
      <c r="H80" s="318">
        <f t="shared" ref="H80:H95" si="0">G80*60/100</f>
        <v>264</v>
      </c>
      <c r="I80" s="319">
        <f>F118</f>
        <v>520</v>
      </c>
      <c r="J80" s="320">
        <f>I80*70/100</f>
        <v>364</v>
      </c>
      <c r="K80" s="319">
        <f>G80*(640/830)^2</f>
        <v>261.61126433444622</v>
      </c>
      <c r="L80" s="318">
        <f>K80*60/100</f>
        <v>156.96675860066773</v>
      </c>
      <c r="M80" s="321">
        <f>I80*(640/830)^2</f>
        <v>309.176948758891</v>
      </c>
      <c r="N80" s="322">
        <f>M80*70/100</f>
        <v>216.4238641312237</v>
      </c>
      <c r="O80" s="307"/>
      <c r="P80" s="6"/>
    </row>
    <row r="81" spans="1:16" ht="18" hidden="1" customHeight="1" x14ac:dyDescent="0.25">
      <c r="A81" s="4"/>
      <c r="B81" s="300"/>
      <c r="C81" s="323">
        <v>0</v>
      </c>
      <c r="D81" s="324" t="s">
        <v>99</v>
      </c>
      <c r="E81" s="325"/>
      <c r="F81" s="326">
        <v>15</v>
      </c>
      <c r="G81" s="327">
        <f>H110</f>
        <v>470</v>
      </c>
      <c r="H81" s="328">
        <f t="shared" si="0"/>
        <v>282</v>
      </c>
      <c r="I81" s="329">
        <f>H118</f>
        <v>560</v>
      </c>
      <c r="J81" s="330">
        <f t="shared" ref="J81:J95" si="1">I81*70/100</f>
        <v>392</v>
      </c>
      <c r="K81" s="329">
        <f t="shared" ref="K81:K95" si="2">G81*(640/830)^2</f>
        <v>279.44839599361302</v>
      </c>
      <c r="L81" s="328">
        <f>K81*60/100</f>
        <v>167.66903759616781</v>
      </c>
      <c r="M81" s="331">
        <f t="shared" ref="M81:M95" si="3">I81*(640/830)^2</f>
        <v>332.95979097111342</v>
      </c>
      <c r="N81" s="332">
        <f t="shared" ref="N81:N95" si="4">M81*70/100</f>
        <v>233.07185367977937</v>
      </c>
      <c r="O81" s="307"/>
      <c r="P81" s="6"/>
    </row>
    <row r="82" spans="1:16" ht="18" hidden="1" customHeight="1" x14ac:dyDescent="0.25">
      <c r="A82" s="4"/>
      <c r="B82" s="300"/>
      <c r="C82" s="333">
        <f>C81*3.2808</f>
        <v>0</v>
      </c>
      <c r="D82" s="334" t="s">
        <v>1</v>
      </c>
      <c r="E82" s="335"/>
      <c r="F82" s="336">
        <v>30</v>
      </c>
      <c r="G82" s="327">
        <f>J110</f>
        <v>500</v>
      </c>
      <c r="H82" s="328">
        <f t="shared" si="0"/>
        <v>300</v>
      </c>
      <c r="I82" s="329">
        <f>J118</f>
        <v>600</v>
      </c>
      <c r="J82" s="330">
        <f t="shared" si="1"/>
        <v>420</v>
      </c>
      <c r="K82" s="329">
        <f t="shared" si="2"/>
        <v>297.28552765277982</v>
      </c>
      <c r="L82" s="328">
        <f>K82*60/100</f>
        <v>178.37131659166789</v>
      </c>
      <c r="M82" s="331">
        <f t="shared" si="3"/>
        <v>356.74263318333578</v>
      </c>
      <c r="N82" s="332">
        <f t="shared" si="4"/>
        <v>249.71984322833504</v>
      </c>
      <c r="O82" s="307"/>
      <c r="P82" s="6"/>
    </row>
    <row r="83" spans="1:16" ht="18" hidden="1" customHeight="1" thickBot="1" x14ac:dyDescent="0.3">
      <c r="A83" s="4"/>
      <c r="B83" s="300"/>
      <c r="C83" s="337"/>
      <c r="D83" s="338"/>
      <c r="E83" s="339"/>
      <c r="F83" s="340">
        <v>45</v>
      </c>
      <c r="G83" s="341">
        <f>L110</f>
        <v>540</v>
      </c>
      <c r="H83" s="342">
        <f t="shared" si="0"/>
        <v>324</v>
      </c>
      <c r="I83" s="343">
        <f>L118</f>
        <v>660</v>
      </c>
      <c r="J83" s="344">
        <f t="shared" si="1"/>
        <v>462</v>
      </c>
      <c r="K83" s="343">
        <f t="shared" si="2"/>
        <v>321.06836986500218</v>
      </c>
      <c r="L83" s="342">
        <f>K83*60/100</f>
        <v>192.64102191900133</v>
      </c>
      <c r="M83" s="345">
        <f t="shared" si="3"/>
        <v>392.41689650166938</v>
      </c>
      <c r="N83" s="346">
        <f t="shared" si="4"/>
        <v>274.69182755116856</v>
      </c>
      <c r="O83" s="307"/>
      <c r="P83" s="6"/>
    </row>
    <row r="84" spans="1:16" ht="18" hidden="1" customHeight="1" x14ac:dyDescent="0.25">
      <c r="A84" s="4"/>
      <c r="B84" s="300"/>
      <c r="C84" s="347"/>
      <c r="D84" s="348"/>
      <c r="E84" s="315"/>
      <c r="F84" s="316">
        <v>0</v>
      </c>
      <c r="G84" s="317">
        <f>F111</f>
        <v>490</v>
      </c>
      <c r="H84" s="320">
        <f t="shared" si="0"/>
        <v>294</v>
      </c>
      <c r="I84" s="349">
        <f>F119</f>
        <v>600</v>
      </c>
      <c r="J84" s="320">
        <f>I84*70/100</f>
        <v>420</v>
      </c>
      <c r="K84" s="319">
        <f>G84*(640/830)^2</f>
        <v>291.3398170997242</v>
      </c>
      <c r="L84" s="318">
        <f>K84*60/100</f>
        <v>174.8038902598345</v>
      </c>
      <c r="M84" s="321">
        <f>I84*(640/830)^2</f>
        <v>356.74263318333578</v>
      </c>
      <c r="N84" s="322">
        <f>M84*70/100</f>
        <v>249.71984322833504</v>
      </c>
      <c r="O84" s="307"/>
      <c r="P84" s="6"/>
    </row>
    <row r="85" spans="1:16" ht="18" hidden="1" customHeight="1" x14ac:dyDescent="0.25">
      <c r="A85" s="4"/>
      <c r="B85" s="300"/>
      <c r="C85" s="323">
        <v>500</v>
      </c>
      <c r="D85" s="324" t="s">
        <v>99</v>
      </c>
      <c r="E85" s="325"/>
      <c r="F85" s="326">
        <v>15</v>
      </c>
      <c r="G85" s="327">
        <f>H111</f>
        <v>540</v>
      </c>
      <c r="H85" s="330">
        <f t="shared" si="0"/>
        <v>324</v>
      </c>
      <c r="I85" s="350">
        <f>H119</f>
        <v>660</v>
      </c>
      <c r="J85" s="330">
        <f t="shared" si="1"/>
        <v>462</v>
      </c>
      <c r="K85" s="329">
        <f t="shared" si="2"/>
        <v>321.06836986500218</v>
      </c>
      <c r="L85" s="328">
        <f t="shared" ref="L85:L95" si="5">K85*60/100</f>
        <v>192.64102191900133</v>
      </c>
      <c r="M85" s="331">
        <f t="shared" si="3"/>
        <v>392.41689650166938</v>
      </c>
      <c r="N85" s="332">
        <f t="shared" si="4"/>
        <v>274.69182755116856</v>
      </c>
      <c r="O85" s="307"/>
      <c r="P85" s="6"/>
    </row>
    <row r="86" spans="1:16" ht="18" hidden="1" customHeight="1" x14ac:dyDescent="0.25">
      <c r="A86" s="4"/>
      <c r="B86" s="300"/>
      <c r="C86" s="333">
        <f>C85*3.2808</f>
        <v>1640.4</v>
      </c>
      <c r="D86" s="334" t="s">
        <v>1</v>
      </c>
      <c r="E86" s="335"/>
      <c r="F86" s="336">
        <v>30</v>
      </c>
      <c r="G86" s="327">
        <f>J111</f>
        <v>580</v>
      </c>
      <c r="H86" s="330">
        <f t="shared" si="0"/>
        <v>348</v>
      </c>
      <c r="I86" s="350">
        <f>J119</f>
        <v>730</v>
      </c>
      <c r="J86" s="330">
        <f t="shared" si="1"/>
        <v>511</v>
      </c>
      <c r="K86" s="329">
        <f t="shared" si="2"/>
        <v>344.8512120772246</v>
      </c>
      <c r="L86" s="328">
        <f t="shared" si="5"/>
        <v>206.91072724633474</v>
      </c>
      <c r="M86" s="331">
        <f t="shared" si="3"/>
        <v>434.03687037305855</v>
      </c>
      <c r="N86" s="332">
        <f t="shared" si="4"/>
        <v>303.82580926114099</v>
      </c>
      <c r="O86" s="307"/>
      <c r="P86" s="6"/>
    </row>
    <row r="87" spans="1:16" ht="18" hidden="1" customHeight="1" thickBot="1" x14ac:dyDescent="0.3">
      <c r="A87" s="4"/>
      <c r="B87" s="300"/>
      <c r="C87" s="337"/>
      <c r="D87" s="338"/>
      <c r="E87" s="339"/>
      <c r="F87" s="340">
        <v>45</v>
      </c>
      <c r="G87" s="341">
        <f>L111</f>
        <v>630</v>
      </c>
      <c r="H87" s="344">
        <f t="shared" si="0"/>
        <v>378</v>
      </c>
      <c r="I87" s="351">
        <f>L119</f>
        <v>800</v>
      </c>
      <c r="J87" s="344">
        <f t="shared" si="1"/>
        <v>560</v>
      </c>
      <c r="K87" s="343">
        <f t="shared" si="2"/>
        <v>374.57976484250258</v>
      </c>
      <c r="L87" s="342">
        <f t="shared" si="5"/>
        <v>224.74785890550157</v>
      </c>
      <c r="M87" s="345">
        <f t="shared" si="3"/>
        <v>475.65684424444771</v>
      </c>
      <c r="N87" s="346">
        <f t="shared" si="4"/>
        <v>332.95979097111342</v>
      </c>
      <c r="O87" s="307"/>
      <c r="P87" s="6"/>
    </row>
    <row r="88" spans="1:16" ht="18" hidden="1" customHeight="1" x14ac:dyDescent="0.25">
      <c r="A88" s="4"/>
      <c r="B88" s="300"/>
      <c r="C88" s="347"/>
      <c r="D88" s="348"/>
      <c r="E88" s="315"/>
      <c r="F88" s="316">
        <v>0</v>
      </c>
      <c r="G88" s="317">
        <f>F112</f>
        <v>580</v>
      </c>
      <c r="H88" s="320">
        <f t="shared" si="0"/>
        <v>348</v>
      </c>
      <c r="I88" s="349">
        <f>F120</f>
        <v>720</v>
      </c>
      <c r="J88" s="320">
        <f>I88*70/100</f>
        <v>504</v>
      </c>
      <c r="K88" s="319">
        <f>G88*(640/830)^2</f>
        <v>344.8512120772246</v>
      </c>
      <c r="L88" s="318">
        <f t="shared" si="5"/>
        <v>206.91072724633474</v>
      </c>
      <c r="M88" s="321">
        <f>I88*(640/830)^2</f>
        <v>428.09115982000293</v>
      </c>
      <c r="N88" s="322">
        <f>M88*70/100</f>
        <v>299.66381187400208</v>
      </c>
      <c r="O88" s="307"/>
      <c r="P88" s="6"/>
    </row>
    <row r="89" spans="1:16" ht="18" hidden="1" customHeight="1" x14ac:dyDescent="0.25">
      <c r="A89" s="4"/>
      <c r="B89" s="300"/>
      <c r="C89" s="323">
        <v>1000</v>
      </c>
      <c r="D89" s="324" t="s">
        <v>99</v>
      </c>
      <c r="E89" s="325"/>
      <c r="F89" s="326">
        <v>15</v>
      </c>
      <c r="G89" s="327">
        <f>H112</f>
        <v>640</v>
      </c>
      <c r="H89" s="330">
        <f t="shared" si="0"/>
        <v>384</v>
      </c>
      <c r="I89" s="350">
        <f>H120</f>
        <v>800</v>
      </c>
      <c r="J89" s="330">
        <f t="shared" si="1"/>
        <v>560</v>
      </c>
      <c r="K89" s="329">
        <f t="shared" si="2"/>
        <v>380.52547539555815</v>
      </c>
      <c r="L89" s="328">
        <f t="shared" si="5"/>
        <v>228.3152852373349</v>
      </c>
      <c r="M89" s="331">
        <f t="shared" si="3"/>
        <v>475.65684424444771</v>
      </c>
      <c r="N89" s="332">
        <f t="shared" si="4"/>
        <v>332.95979097111342</v>
      </c>
      <c r="O89" s="307"/>
      <c r="P89" s="6"/>
    </row>
    <row r="90" spans="1:16" ht="18" hidden="1" customHeight="1" x14ac:dyDescent="0.25">
      <c r="A90" s="4"/>
      <c r="B90" s="300"/>
      <c r="C90" s="333">
        <f>C89*3.2808</f>
        <v>3280.8</v>
      </c>
      <c r="D90" s="334" t="s">
        <v>1</v>
      </c>
      <c r="E90" s="325"/>
      <c r="F90" s="326">
        <v>15</v>
      </c>
      <c r="G90" s="327">
        <f>J112</f>
        <v>700</v>
      </c>
      <c r="H90" s="330">
        <f t="shared" si="0"/>
        <v>420</v>
      </c>
      <c r="I90" s="350">
        <f>J120</f>
        <v>870</v>
      </c>
      <c r="J90" s="330">
        <f t="shared" si="1"/>
        <v>609</v>
      </c>
      <c r="K90" s="329">
        <f t="shared" si="2"/>
        <v>416.19973871389175</v>
      </c>
      <c r="L90" s="328">
        <f t="shared" si="5"/>
        <v>249.71984322833504</v>
      </c>
      <c r="M90" s="331">
        <f t="shared" si="3"/>
        <v>517.27681811583693</v>
      </c>
      <c r="N90" s="332">
        <f t="shared" si="4"/>
        <v>362.09377268108585</v>
      </c>
      <c r="O90" s="307"/>
      <c r="P90" s="6"/>
    </row>
    <row r="91" spans="1:16" ht="18" hidden="1" customHeight="1" thickBot="1" x14ac:dyDescent="0.3">
      <c r="A91" s="4"/>
      <c r="B91" s="300"/>
      <c r="C91" s="337"/>
      <c r="D91" s="338"/>
      <c r="E91" s="339"/>
      <c r="F91" s="340">
        <v>45</v>
      </c>
      <c r="G91" s="341">
        <f>L112</f>
        <v>750</v>
      </c>
      <c r="H91" s="344">
        <f t="shared" si="0"/>
        <v>450</v>
      </c>
      <c r="I91" s="351">
        <f>L120</f>
        <v>960</v>
      </c>
      <c r="J91" s="344">
        <f t="shared" si="1"/>
        <v>672</v>
      </c>
      <c r="K91" s="343">
        <f t="shared" si="2"/>
        <v>445.92829147916973</v>
      </c>
      <c r="L91" s="342">
        <f t="shared" si="5"/>
        <v>267.55697488750184</v>
      </c>
      <c r="M91" s="345">
        <f t="shared" si="3"/>
        <v>570.78821309333728</v>
      </c>
      <c r="N91" s="346">
        <f t="shared" si="4"/>
        <v>399.5517491653361</v>
      </c>
      <c r="O91" s="307"/>
      <c r="P91" s="6"/>
    </row>
    <row r="92" spans="1:16" ht="18" hidden="1" customHeight="1" x14ac:dyDescent="0.25">
      <c r="A92" s="4"/>
      <c r="B92" s="300"/>
      <c r="C92" s="347"/>
      <c r="D92" s="348"/>
      <c r="E92" s="315"/>
      <c r="F92" s="316">
        <v>0</v>
      </c>
      <c r="G92" s="317">
        <f>F113</f>
        <v>680</v>
      </c>
      <c r="H92" s="320">
        <f t="shared" si="0"/>
        <v>408</v>
      </c>
      <c r="I92" s="349">
        <f>F121</f>
        <v>880</v>
      </c>
      <c r="J92" s="320">
        <f>I92*70/100</f>
        <v>616</v>
      </c>
      <c r="K92" s="319">
        <f>G92*(640/830)^2</f>
        <v>404.30831760778057</v>
      </c>
      <c r="L92" s="318">
        <f t="shared" si="5"/>
        <v>242.58499056466835</v>
      </c>
      <c r="M92" s="321">
        <f>I92*(640/830)^2</f>
        <v>523.22252866889244</v>
      </c>
      <c r="N92" s="322">
        <f>M92*70/100</f>
        <v>366.25577006822476</v>
      </c>
      <c r="O92" s="307"/>
      <c r="P92" s="6"/>
    </row>
    <row r="93" spans="1:16" ht="18" hidden="1" customHeight="1" x14ac:dyDescent="0.25">
      <c r="A93" s="4"/>
      <c r="B93" s="300"/>
      <c r="C93" s="323">
        <v>1500</v>
      </c>
      <c r="D93" s="324" t="s">
        <v>99</v>
      </c>
      <c r="E93" s="325"/>
      <c r="F93" s="326">
        <v>15</v>
      </c>
      <c r="G93" s="327">
        <f>H113</f>
        <v>740</v>
      </c>
      <c r="H93" s="330">
        <f t="shared" si="0"/>
        <v>444</v>
      </c>
      <c r="I93" s="350">
        <f>H121</f>
        <v>950</v>
      </c>
      <c r="J93" s="330">
        <f t="shared" si="1"/>
        <v>665</v>
      </c>
      <c r="K93" s="329">
        <f t="shared" si="2"/>
        <v>439.98258092611417</v>
      </c>
      <c r="L93" s="328">
        <f t="shared" si="5"/>
        <v>263.98954855566853</v>
      </c>
      <c r="M93" s="331">
        <f t="shared" si="3"/>
        <v>564.84250254028166</v>
      </c>
      <c r="N93" s="332">
        <f t="shared" si="4"/>
        <v>395.38975177819719</v>
      </c>
      <c r="O93" s="307"/>
      <c r="P93" s="6"/>
    </row>
    <row r="94" spans="1:16" ht="18" hidden="1" customHeight="1" x14ac:dyDescent="0.25">
      <c r="A94" s="4"/>
      <c r="B94" s="300"/>
      <c r="C94" s="333">
        <f>C93*3.2808+0.5</f>
        <v>4921.7</v>
      </c>
      <c r="D94" s="334" t="s">
        <v>1</v>
      </c>
      <c r="E94" s="325"/>
      <c r="F94" s="326">
        <v>15</v>
      </c>
      <c r="G94" s="327">
        <f>J113</f>
        <v>800</v>
      </c>
      <c r="H94" s="330">
        <f t="shared" si="0"/>
        <v>480</v>
      </c>
      <c r="I94" s="350">
        <f>J121</f>
        <v>1020</v>
      </c>
      <c r="J94" s="330">
        <f t="shared" si="1"/>
        <v>714</v>
      </c>
      <c r="K94" s="329">
        <f t="shared" si="2"/>
        <v>475.65684424444771</v>
      </c>
      <c r="L94" s="328">
        <f t="shared" si="5"/>
        <v>285.39410654666864</v>
      </c>
      <c r="M94" s="331">
        <f t="shared" si="3"/>
        <v>606.46247641167088</v>
      </c>
      <c r="N94" s="332">
        <f t="shared" si="4"/>
        <v>424.52373348816963</v>
      </c>
      <c r="O94" s="307"/>
      <c r="P94" s="6"/>
    </row>
    <row r="95" spans="1:16" ht="18" hidden="1" customHeight="1" thickBot="1" x14ac:dyDescent="0.3">
      <c r="A95" s="4"/>
      <c r="B95" s="300"/>
      <c r="C95" s="352"/>
      <c r="D95" s="338"/>
      <c r="E95" s="339"/>
      <c r="F95" s="340">
        <v>45</v>
      </c>
      <c r="G95" s="341">
        <f>L113</f>
        <v>880</v>
      </c>
      <c r="H95" s="344">
        <f t="shared" si="0"/>
        <v>528</v>
      </c>
      <c r="I95" s="351">
        <f>L121</f>
        <v>1160</v>
      </c>
      <c r="J95" s="344">
        <f t="shared" si="1"/>
        <v>812</v>
      </c>
      <c r="K95" s="343">
        <f t="shared" si="2"/>
        <v>523.22252866889244</v>
      </c>
      <c r="L95" s="342">
        <f t="shared" si="5"/>
        <v>313.93351720133546</v>
      </c>
      <c r="M95" s="345">
        <f t="shared" si="3"/>
        <v>689.7024241544492</v>
      </c>
      <c r="N95" s="346">
        <f t="shared" si="4"/>
        <v>482.79169690811449</v>
      </c>
      <c r="O95" s="307"/>
      <c r="P95" s="6"/>
    </row>
    <row r="96" spans="1:16" ht="17.100000000000001" hidden="1" customHeight="1" x14ac:dyDescent="0.25">
      <c r="A96" s="4"/>
      <c r="B96" s="300"/>
      <c r="C96" s="353" t="s">
        <v>100</v>
      </c>
      <c r="D96" s="353"/>
      <c r="E96" s="353"/>
      <c r="F96" s="354"/>
      <c r="G96" s="355"/>
      <c r="H96" s="356"/>
      <c r="I96" s="355"/>
      <c r="J96" s="356"/>
      <c r="K96" s="355"/>
      <c r="L96" s="356"/>
      <c r="M96" s="355"/>
      <c r="N96" s="356"/>
      <c r="O96" s="307"/>
      <c r="P96" s="6"/>
    </row>
    <row r="97" spans="1:19" ht="12.95" hidden="1" customHeight="1" x14ac:dyDescent="0.25">
      <c r="A97" s="4"/>
      <c r="B97" s="300"/>
      <c r="C97" s="357" t="s">
        <v>101</v>
      </c>
      <c r="D97" s="357"/>
      <c r="E97" s="357"/>
      <c r="F97" s="354"/>
      <c r="G97" s="355"/>
      <c r="H97" s="356"/>
      <c r="I97" s="355"/>
      <c r="J97" s="356"/>
      <c r="K97" s="355"/>
      <c r="L97" s="356"/>
      <c r="M97" s="355"/>
      <c r="N97" s="356"/>
      <c r="O97" s="307"/>
      <c r="P97" s="6"/>
    </row>
    <row r="98" spans="1:19" ht="12.95" hidden="1" customHeight="1" x14ac:dyDescent="0.25">
      <c r="A98" s="4"/>
      <c r="B98" s="300"/>
      <c r="C98" s="358" t="s">
        <v>102</v>
      </c>
      <c r="D98" s="358"/>
      <c r="E98" s="358"/>
      <c r="F98" s="359"/>
      <c r="G98" s="360">
        <v>10</v>
      </c>
      <c r="H98" s="361" t="s">
        <v>103</v>
      </c>
      <c r="I98" s="362"/>
      <c r="J98" s="363">
        <v>0.85</v>
      </c>
      <c r="K98" s="364" t="s">
        <v>104</v>
      </c>
      <c r="L98" s="365"/>
      <c r="M98" s="364"/>
      <c r="N98" s="365"/>
      <c r="O98" s="307"/>
      <c r="P98" s="6"/>
    </row>
    <row r="99" spans="1:19" ht="12.95" hidden="1" customHeight="1" x14ac:dyDescent="0.25">
      <c r="A99" s="4"/>
      <c r="B99" s="300"/>
      <c r="C99" s="358" t="s">
        <v>105</v>
      </c>
      <c r="D99" s="358"/>
      <c r="E99" s="358"/>
      <c r="F99" s="359"/>
      <c r="G99" s="360">
        <v>20</v>
      </c>
      <c r="H99" s="361" t="s">
        <v>103</v>
      </c>
      <c r="I99" s="362"/>
      <c r="J99" s="363">
        <v>0.67</v>
      </c>
      <c r="K99" s="364" t="s">
        <v>106</v>
      </c>
      <c r="L99" s="365"/>
      <c r="M99" s="364"/>
      <c r="N99" s="365"/>
      <c r="O99" s="307"/>
      <c r="P99" s="6"/>
    </row>
    <row r="100" spans="1:19" ht="20.100000000000001" hidden="1" customHeight="1" x14ac:dyDescent="0.25">
      <c r="A100" s="4"/>
      <c r="B100" s="366"/>
      <c r="C100" s="367" t="s">
        <v>105</v>
      </c>
      <c r="D100" s="367"/>
      <c r="E100" s="367"/>
      <c r="F100" s="368"/>
      <c r="G100" s="369">
        <v>30</v>
      </c>
      <c r="H100" s="370" t="s">
        <v>103</v>
      </c>
      <c r="I100" s="371"/>
      <c r="J100" s="372">
        <v>0.56000000000000005</v>
      </c>
      <c r="K100" s="373" t="s">
        <v>107</v>
      </c>
      <c r="L100" s="374"/>
      <c r="M100" s="373"/>
      <c r="N100" s="374"/>
      <c r="O100" s="375"/>
      <c r="P100" s="6"/>
    </row>
    <row r="101" spans="1:19" ht="15" hidden="1" customHeight="1" x14ac:dyDescent="0.25">
      <c r="A101" s="4"/>
      <c r="B101" s="4"/>
      <c r="C101" s="376"/>
      <c r="D101" s="376"/>
      <c r="E101" s="377"/>
      <c r="F101" s="378"/>
      <c r="G101" s="379"/>
      <c r="H101" s="380"/>
      <c r="I101" s="379"/>
      <c r="J101" s="380"/>
      <c r="K101" s="379"/>
      <c r="L101" s="380"/>
      <c r="M101" s="379"/>
      <c r="N101" s="380"/>
      <c r="O101" s="4"/>
      <c r="P101" s="6"/>
    </row>
    <row r="102" spans="1:19" ht="30" hidden="1" customHeight="1" x14ac:dyDescent="0.25">
      <c r="A102" s="550"/>
      <c r="B102" s="289" t="s">
        <v>108</v>
      </c>
      <c r="C102" s="290"/>
      <c r="D102" s="290"/>
      <c r="E102" s="289"/>
      <c r="F102" s="291"/>
      <c r="G102" s="291"/>
      <c r="H102" s="291"/>
      <c r="I102" s="291"/>
      <c r="J102" s="291"/>
      <c r="K102" s="291"/>
      <c r="L102" s="291"/>
      <c r="M102" s="291"/>
      <c r="N102" s="291"/>
      <c r="O102" s="3"/>
      <c r="P102" s="6"/>
    </row>
    <row r="103" spans="1:19" ht="24.95" hidden="1" customHeight="1" x14ac:dyDescent="0.25">
      <c r="A103" s="4"/>
      <c r="B103" s="381"/>
      <c r="C103" s="382" t="s">
        <v>96</v>
      </c>
      <c r="D103" s="382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4"/>
      <c r="P103" s="6"/>
    </row>
    <row r="104" spans="1:19" ht="30" hidden="1" customHeight="1" thickBot="1" x14ac:dyDescent="0.3">
      <c r="A104" s="4"/>
      <c r="B104" s="385"/>
      <c r="C104" s="386" t="s">
        <v>109</v>
      </c>
      <c r="D104" s="387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9"/>
      <c r="P104" s="6"/>
    </row>
    <row r="105" spans="1:19" ht="39.950000000000003" hidden="1" customHeight="1" thickBot="1" x14ac:dyDescent="0.3">
      <c r="A105" s="4"/>
      <c r="B105" s="390"/>
      <c r="C105" s="362"/>
      <c r="D105" s="711" t="s">
        <v>110</v>
      </c>
      <c r="E105" s="712"/>
      <c r="F105" s="391" t="s">
        <v>111</v>
      </c>
      <c r="G105" s="392"/>
      <c r="H105" s="393" t="s">
        <v>112</v>
      </c>
      <c r="I105" s="394"/>
      <c r="J105" s="392" t="s">
        <v>113</v>
      </c>
      <c r="K105" s="392"/>
      <c r="L105" s="393" t="s">
        <v>114</v>
      </c>
      <c r="M105" s="395"/>
      <c r="N105" s="396"/>
      <c r="O105" s="397"/>
      <c r="P105" s="6"/>
    </row>
    <row r="106" spans="1:19" ht="15" hidden="1" customHeight="1" x14ac:dyDescent="0.25">
      <c r="A106" s="4"/>
      <c r="B106" s="398"/>
      <c r="C106" s="399"/>
      <c r="D106" s="399"/>
      <c r="E106" s="400"/>
      <c r="F106" s="400"/>
      <c r="G106" s="401"/>
      <c r="H106" s="401"/>
      <c r="I106" s="402"/>
      <c r="J106" s="402"/>
      <c r="K106" s="401"/>
      <c r="L106" s="401"/>
      <c r="M106" s="401"/>
      <c r="N106" s="401"/>
      <c r="O106" s="403"/>
      <c r="P106" s="6"/>
    </row>
    <row r="107" spans="1:19" ht="15" hidden="1" customHeight="1" x14ac:dyDescent="0.25">
      <c r="A107" s="4"/>
      <c r="B107" s="398"/>
      <c r="C107" s="399"/>
      <c r="D107" s="404" t="s">
        <v>115</v>
      </c>
      <c r="E107" s="404"/>
      <c r="F107" s="405"/>
      <c r="G107" s="404"/>
      <c r="H107" s="404"/>
      <c r="I107" s="405"/>
      <c r="J107" s="405"/>
      <c r="K107" s="404"/>
      <c r="L107" s="404"/>
      <c r="M107" s="406"/>
      <c r="N107" s="407"/>
      <c r="O107" s="408"/>
      <c r="P107" s="6"/>
    </row>
    <row r="108" spans="1:19" ht="15" hidden="1" customHeight="1" x14ac:dyDescent="0.25">
      <c r="A108" s="4"/>
      <c r="B108" s="398"/>
      <c r="C108" s="409"/>
      <c r="D108" s="410" t="s">
        <v>116</v>
      </c>
      <c r="E108" s="400"/>
      <c r="F108" s="400"/>
      <c r="G108" s="404"/>
      <c r="H108" s="411"/>
      <c r="I108" s="400"/>
      <c r="J108" s="410"/>
      <c r="K108" s="404"/>
      <c r="L108" s="411"/>
      <c r="M108" s="404"/>
      <c r="N108" s="412"/>
      <c r="O108" s="408"/>
      <c r="P108" s="6"/>
    </row>
    <row r="109" spans="1:19" ht="5.0999999999999996" hidden="1" customHeight="1" thickBot="1" x14ac:dyDescent="0.3">
      <c r="A109" s="4"/>
      <c r="B109" s="398"/>
      <c r="C109" s="409"/>
      <c r="D109" s="409"/>
      <c r="E109" s="413"/>
      <c r="F109" s="413"/>
      <c r="G109" s="414"/>
      <c r="H109" s="415"/>
      <c r="I109" s="400"/>
      <c r="J109" s="410"/>
      <c r="K109" s="414"/>
      <c r="L109" s="415"/>
      <c r="M109" s="414"/>
      <c r="N109" s="412"/>
      <c r="O109" s="403"/>
      <c r="P109" s="6"/>
    </row>
    <row r="110" spans="1:19" ht="18" hidden="1" customHeight="1" x14ac:dyDescent="0.25">
      <c r="A110" s="4"/>
      <c r="B110" s="398"/>
      <c r="C110" s="416"/>
      <c r="D110" s="417">
        <v>0</v>
      </c>
      <c r="E110" s="418">
        <f>D110*3.2808</f>
        <v>0</v>
      </c>
      <c r="F110" s="419">
        <v>440</v>
      </c>
      <c r="G110" s="420"/>
      <c r="H110" s="421">
        <v>470</v>
      </c>
      <c r="I110" s="420"/>
      <c r="J110" s="421">
        <v>500</v>
      </c>
      <c r="K110" s="422"/>
      <c r="L110" s="420">
        <v>540</v>
      </c>
      <c r="M110" s="423"/>
      <c r="N110" s="424"/>
      <c r="O110" s="403"/>
      <c r="P110" s="6"/>
    </row>
    <row r="111" spans="1:19" ht="18" hidden="1" customHeight="1" x14ac:dyDescent="0.25">
      <c r="A111" s="4"/>
      <c r="B111" s="398"/>
      <c r="C111" s="416"/>
      <c r="D111" s="425">
        <v>500</v>
      </c>
      <c r="E111" s="426">
        <f>D111*3.2808</f>
        <v>1640.4</v>
      </c>
      <c r="F111" s="427">
        <v>490</v>
      </c>
      <c r="G111" s="404"/>
      <c r="H111" s="428">
        <v>540</v>
      </c>
      <c r="I111" s="404"/>
      <c r="J111" s="428">
        <v>580</v>
      </c>
      <c r="K111" s="429"/>
      <c r="L111" s="404">
        <v>630</v>
      </c>
      <c r="M111" s="430"/>
      <c r="N111" s="424"/>
      <c r="O111" s="403"/>
      <c r="P111" s="6"/>
      <c r="S111" s="431"/>
    </row>
    <row r="112" spans="1:19" ht="18" hidden="1" customHeight="1" x14ac:dyDescent="0.25">
      <c r="A112" s="4"/>
      <c r="B112" s="398"/>
      <c r="C112" s="416"/>
      <c r="D112" s="425">
        <v>1000</v>
      </c>
      <c r="E112" s="426">
        <f>D112*3.2808</f>
        <v>3280.8</v>
      </c>
      <c r="F112" s="427">
        <v>580</v>
      </c>
      <c r="G112" s="404"/>
      <c r="H112" s="428">
        <v>640</v>
      </c>
      <c r="I112" s="404"/>
      <c r="J112" s="428">
        <v>700</v>
      </c>
      <c r="K112" s="429"/>
      <c r="L112" s="404">
        <v>750</v>
      </c>
      <c r="M112" s="430"/>
      <c r="N112" s="424"/>
      <c r="O112" s="403"/>
      <c r="P112" s="6"/>
    </row>
    <row r="113" spans="1:19" ht="18" hidden="1" customHeight="1" thickBot="1" x14ac:dyDescent="0.3">
      <c r="A113" s="4"/>
      <c r="B113" s="398"/>
      <c r="C113" s="416"/>
      <c r="D113" s="432">
        <v>1500</v>
      </c>
      <c r="E113" s="433">
        <f>D113*3.2808+0.5</f>
        <v>4921.7</v>
      </c>
      <c r="F113" s="434">
        <v>680</v>
      </c>
      <c r="G113" s="435"/>
      <c r="H113" s="436">
        <v>740</v>
      </c>
      <c r="I113" s="435"/>
      <c r="J113" s="436">
        <v>800</v>
      </c>
      <c r="K113" s="437"/>
      <c r="L113" s="435">
        <v>880</v>
      </c>
      <c r="M113" s="438"/>
      <c r="N113" s="424"/>
      <c r="O113" s="403"/>
      <c r="P113" s="6"/>
    </row>
    <row r="114" spans="1:19" ht="15" hidden="1" customHeight="1" x14ac:dyDescent="0.25">
      <c r="A114" s="4"/>
      <c r="B114" s="398"/>
      <c r="C114" s="416"/>
      <c r="D114" s="399"/>
      <c r="E114" s="400"/>
      <c r="F114" s="400"/>
      <c r="G114" s="401"/>
      <c r="H114" s="401"/>
      <c r="I114" s="402"/>
      <c r="J114" s="402"/>
      <c r="K114" s="401"/>
      <c r="L114" s="401"/>
      <c r="M114" s="401"/>
      <c r="N114" s="424"/>
      <c r="O114" s="403"/>
      <c r="P114" s="6"/>
      <c r="S114" s="431"/>
    </row>
    <row r="115" spans="1:19" ht="15" hidden="1" customHeight="1" x14ac:dyDescent="0.25">
      <c r="A115" s="4"/>
      <c r="B115" s="398"/>
      <c r="C115" s="399"/>
      <c r="D115" s="404" t="s">
        <v>117</v>
      </c>
      <c r="E115" s="404"/>
      <c r="F115" s="405"/>
      <c r="G115" s="404"/>
      <c r="H115" s="404"/>
      <c r="I115" s="405"/>
      <c r="J115" s="405"/>
      <c r="K115" s="404"/>
      <c r="L115" s="404"/>
      <c r="M115" s="406"/>
      <c r="N115" s="407"/>
      <c r="O115" s="408"/>
      <c r="P115" s="6"/>
    </row>
    <row r="116" spans="1:19" ht="15" hidden="1" customHeight="1" x14ac:dyDescent="0.25">
      <c r="A116" s="4"/>
      <c r="B116" s="398"/>
      <c r="C116" s="409"/>
      <c r="D116" s="410" t="s">
        <v>118</v>
      </c>
      <c r="E116" s="400"/>
      <c r="F116" s="400"/>
      <c r="G116" s="404"/>
      <c r="H116" s="411"/>
      <c r="I116" s="400"/>
      <c r="J116" s="410"/>
      <c r="K116" s="404"/>
      <c r="L116" s="411"/>
      <c r="M116" s="404"/>
      <c r="N116" s="412"/>
      <c r="O116" s="408"/>
      <c r="P116" s="6"/>
    </row>
    <row r="117" spans="1:19" ht="5.0999999999999996" hidden="1" customHeight="1" thickBot="1" x14ac:dyDescent="0.3">
      <c r="A117" s="4"/>
      <c r="B117" s="398"/>
      <c r="C117" s="416"/>
      <c r="D117" s="409"/>
      <c r="E117" s="413"/>
      <c r="F117" s="413"/>
      <c r="G117" s="439"/>
      <c r="H117" s="412"/>
      <c r="I117" s="402"/>
      <c r="J117" s="440"/>
      <c r="K117" s="439"/>
      <c r="L117" s="412"/>
      <c r="M117" s="439"/>
      <c r="N117" s="424"/>
      <c r="O117" s="403"/>
      <c r="P117" s="6"/>
    </row>
    <row r="118" spans="1:19" ht="18" hidden="1" customHeight="1" x14ac:dyDescent="0.25">
      <c r="A118" s="4"/>
      <c r="B118" s="398"/>
      <c r="C118" s="416"/>
      <c r="D118" s="417">
        <v>0</v>
      </c>
      <c r="E118" s="418">
        <f>D118*3.2808</f>
        <v>0</v>
      </c>
      <c r="F118" s="419">
        <v>520</v>
      </c>
      <c r="G118" s="420"/>
      <c r="H118" s="421">
        <v>560</v>
      </c>
      <c r="I118" s="420"/>
      <c r="J118" s="421">
        <v>600</v>
      </c>
      <c r="K118" s="422"/>
      <c r="L118" s="420">
        <v>660</v>
      </c>
      <c r="M118" s="423"/>
      <c r="N118" s="424"/>
      <c r="O118" s="403"/>
      <c r="P118" s="6"/>
    </row>
    <row r="119" spans="1:19" ht="18" hidden="1" customHeight="1" x14ac:dyDescent="0.25">
      <c r="A119" s="4"/>
      <c r="B119" s="398"/>
      <c r="C119" s="416"/>
      <c r="D119" s="425">
        <v>500</v>
      </c>
      <c r="E119" s="426">
        <f>D119*3.2808</f>
        <v>1640.4</v>
      </c>
      <c r="F119" s="427">
        <v>600</v>
      </c>
      <c r="G119" s="404"/>
      <c r="H119" s="428">
        <v>660</v>
      </c>
      <c r="I119" s="404"/>
      <c r="J119" s="428">
        <v>730</v>
      </c>
      <c r="K119" s="429"/>
      <c r="L119" s="404">
        <v>800</v>
      </c>
      <c r="M119" s="430"/>
      <c r="N119" s="424"/>
      <c r="O119" s="403"/>
      <c r="P119" s="6"/>
    </row>
    <row r="120" spans="1:19" ht="18" hidden="1" customHeight="1" x14ac:dyDescent="0.25">
      <c r="A120" s="4"/>
      <c r="B120" s="398"/>
      <c r="C120" s="416"/>
      <c r="D120" s="425">
        <v>1000</v>
      </c>
      <c r="E120" s="426">
        <f>D120*3.2808</f>
        <v>3280.8</v>
      </c>
      <c r="F120" s="427">
        <v>720</v>
      </c>
      <c r="G120" s="404"/>
      <c r="H120" s="428">
        <v>800</v>
      </c>
      <c r="I120" s="404"/>
      <c r="J120" s="428">
        <v>870</v>
      </c>
      <c r="K120" s="429"/>
      <c r="L120" s="404">
        <v>960</v>
      </c>
      <c r="M120" s="430"/>
      <c r="N120" s="424"/>
      <c r="O120" s="403"/>
      <c r="P120" s="6"/>
    </row>
    <row r="121" spans="1:19" ht="18" hidden="1" customHeight="1" thickBot="1" x14ac:dyDescent="0.3">
      <c r="A121" s="4"/>
      <c r="B121" s="398"/>
      <c r="C121" s="416"/>
      <c r="D121" s="432">
        <v>1500</v>
      </c>
      <c r="E121" s="433">
        <f>D121*3.2808+0.5</f>
        <v>4921.7</v>
      </c>
      <c r="F121" s="434">
        <v>880</v>
      </c>
      <c r="G121" s="435"/>
      <c r="H121" s="436">
        <v>950</v>
      </c>
      <c r="I121" s="435"/>
      <c r="J121" s="436">
        <v>1020</v>
      </c>
      <c r="K121" s="437"/>
      <c r="L121" s="435">
        <v>1160</v>
      </c>
      <c r="M121" s="438"/>
      <c r="N121" s="424"/>
      <c r="O121" s="403"/>
      <c r="P121" s="6"/>
      <c r="S121" s="431"/>
    </row>
    <row r="122" spans="1:19" ht="15" hidden="1" customHeight="1" x14ac:dyDescent="0.25">
      <c r="A122" s="4"/>
      <c r="B122" s="441"/>
      <c r="C122" s="442"/>
      <c r="D122" s="442"/>
      <c r="E122" s="443"/>
      <c r="F122" s="444"/>
      <c r="G122" s="445"/>
      <c r="H122" s="446"/>
      <c r="I122" s="445"/>
      <c r="J122" s="446"/>
      <c r="K122" s="445"/>
      <c r="L122" s="446"/>
      <c r="M122" s="447"/>
      <c r="N122" s="424"/>
      <c r="O122" s="408"/>
      <c r="P122" s="6"/>
    </row>
    <row r="123" spans="1:19" ht="24.95" hidden="1" customHeight="1" x14ac:dyDescent="0.25">
      <c r="A123" s="4"/>
      <c r="B123" s="448"/>
      <c r="C123" s="358"/>
      <c r="D123" s="447" t="s">
        <v>119</v>
      </c>
      <c r="E123" s="447"/>
      <c r="F123" s="449"/>
      <c r="G123" s="450"/>
      <c r="H123" s="451"/>
      <c r="I123" s="447"/>
      <c r="J123" s="447"/>
      <c r="K123" s="447"/>
      <c r="L123" s="451"/>
      <c r="M123" s="447"/>
      <c r="N123" s="452"/>
      <c r="O123" s="397"/>
      <c r="P123" s="6"/>
    </row>
    <row r="124" spans="1:19" ht="9.9499999999999993" hidden="1" customHeight="1" x14ac:dyDescent="0.25">
      <c r="A124" s="4"/>
      <c r="B124" s="453"/>
      <c r="C124" s="367"/>
      <c r="D124" s="367"/>
      <c r="E124" s="367"/>
      <c r="F124" s="454"/>
      <c r="G124" s="455"/>
      <c r="H124" s="456"/>
      <c r="I124" s="367"/>
      <c r="J124" s="367"/>
      <c r="K124" s="367"/>
      <c r="L124" s="456"/>
      <c r="M124" s="367"/>
      <c r="N124" s="456"/>
      <c r="O124" s="457"/>
      <c r="P124" s="6"/>
    </row>
    <row r="125" spans="1:19" hidden="1" x14ac:dyDescent="0.25">
      <c r="A125" s="4"/>
      <c r="B125" s="4"/>
      <c r="C125" s="376"/>
      <c r="D125" s="376"/>
      <c r="E125" s="377"/>
      <c r="F125" s="378"/>
      <c r="G125" s="379"/>
      <c r="H125" s="380"/>
      <c r="I125" s="379"/>
      <c r="J125" s="380"/>
      <c r="K125" s="379"/>
      <c r="L125" s="380"/>
      <c r="M125" s="379"/>
      <c r="N125" s="380"/>
      <c r="O125" s="4"/>
      <c r="P125" s="6"/>
    </row>
    <row r="126" spans="1:19" ht="26.25" hidden="1" x14ac:dyDescent="0.25">
      <c r="A126" s="4"/>
      <c r="B126" s="212" t="s">
        <v>120</v>
      </c>
      <c r="C126" s="458"/>
      <c r="D126" s="458"/>
      <c r="E126" s="458"/>
      <c r="F126" s="458"/>
      <c r="G126" s="458"/>
      <c r="H126" s="458"/>
      <c r="I126" s="458"/>
      <c r="J126" s="458"/>
      <c r="K126" s="458"/>
      <c r="L126" s="458"/>
      <c r="M126" s="458"/>
      <c r="N126" s="458"/>
      <c r="O126" s="6"/>
      <c r="P126" s="6"/>
    </row>
    <row r="127" spans="1:19" ht="15" hidden="1" customHeight="1" thickBot="1" x14ac:dyDescent="0.3">
      <c r="A127" s="4"/>
      <c r="B127" s="459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599"/>
      <c r="P127" s="6"/>
    </row>
    <row r="128" spans="1:19" ht="15.75" hidden="1" thickBot="1" x14ac:dyDescent="0.3">
      <c r="A128" s="4"/>
      <c r="B128" s="218"/>
      <c r="C128" s="600"/>
      <c r="D128" s="600"/>
      <c r="E128" s="601"/>
      <c r="F128" s="460" t="s">
        <v>78</v>
      </c>
      <c r="G128" s="461"/>
      <c r="H128" s="461"/>
      <c r="I128" s="461"/>
      <c r="J128" s="460" t="s">
        <v>121</v>
      </c>
      <c r="K128" s="461"/>
      <c r="L128" s="461"/>
      <c r="M128" s="462"/>
      <c r="N128" s="6"/>
      <c r="O128" s="567"/>
      <c r="P128" s="6"/>
    </row>
    <row r="129" spans="1:16" ht="15.75" hidden="1" thickBot="1" x14ac:dyDescent="0.3">
      <c r="A129" s="4"/>
      <c r="B129" s="218"/>
      <c r="C129" s="602"/>
      <c r="D129" s="602"/>
      <c r="E129" s="603"/>
      <c r="F129" s="236" t="s">
        <v>122</v>
      </c>
      <c r="G129" s="237"/>
      <c r="H129" s="236"/>
      <c r="I129" s="237"/>
      <c r="J129" s="236" t="s">
        <v>122</v>
      </c>
      <c r="K129" s="238"/>
      <c r="L129" s="237"/>
      <c r="M129" s="238"/>
      <c r="N129" s="6"/>
      <c r="O129" s="567"/>
      <c r="P129" s="6"/>
    </row>
    <row r="130" spans="1:16" ht="15.75" hidden="1" thickBot="1" x14ac:dyDescent="0.3">
      <c r="A130" s="4"/>
      <c r="B130" s="218"/>
      <c r="C130" s="602"/>
      <c r="D130" s="602"/>
      <c r="E130" s="603"/>
      <c r="F130" s="231" t="s">
        <v>123</v>
      </c>
      <c r="G130" s="230"/>
      <c r="H130" s="231" t="s">
        <v>124</v>
      </c>
      <c r="I130" s="230"/>
      <c r="J130" s="231" t="s">
        <v>123</v>
      </c>
      <c r="K130" s="230"/>
      <c r="L130" s="236" t="s">
        <v>124</v>
      </c>
      <c r="M130" s="238"/>
      <c r="N130" s="6"/>
      <c r="O130" s="567"/>
      <c r="P130" s="6"/>
    </row>
    <row r="131" spans="1:16" ht="15.75" hidden="1" thickBot="1" x14ac:dyDescent="0.3">
      <c r="A131" s="4"/>
      <c r="B131" s="218"/>
      <c r="C131" s="604"/>
      <c r="D131" s="604"/>
      <c r="E131" s="605"/>
      <c r="F131" s="463">
        <f>H131+300</f>
        <v>550</v>
      </c>
      <c r="G131" s="464"/>
      <c r="H131" s="463">
        <f>J162</f>
        <v>250</v>
      </c>
      <c r="I131" s="464"/>
      <c r="J131" s="463">
        <f>L131+300</f>
        <v>510</v>
      </c>
      <c r="K131" s="464"/>
      <c r="L131" s="463">
        <f>L162</f>
        <v>210</v>
      </c>
      <c r="M131" s="464"/>
      <c r="N131" s="6"/>
      <c r="O131" s="567"/>
      <c r="P131" s="6"/>
    </row>
    <row r="132" spans="1:16" hidden="1" x14ac:dyDescent="0.25">
      <c r="A132" s="4"/>
      <c r="B132" s="218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567"/>
      <c r="P132" s="6"/>
    </row>
    <row r="133" spans="1:16" ht="20.100000000000001" hidden="1" customHeight="1" thickBot="1" x14ac:dyDescent="0.3">
      <c r="A133" s="4"/>
      <c r="B133" s="218"/>
      <c r="C133" s="564" t="s">
        <v>83</v>
      </c>
      <c r="D133" s="564"/>
      <c r="E133" s="565"/>
      <c r="F133" s="548">
        <v>27</v>
      </c>
      <c r="G133" s="566" t="s">
        <v>3</v>
      </c>
      <c r="H133" s="581" t="s">
        <v>84</v>
      </c>
      <c r="I133" s="582" t="s">
        <v>85</v>
      </c>
      <c r="J133" s="575"/>
      <c r="K133" s="576"/>
      <c r="L133" s="576"/>
      <c r="M133" s="576"/>
      <c r="N133" s="576"/>
      <c r="O133" s="567"/>
      <c r="P133" s="6"/>
    </row>
    <row r="134" spans="1:16" ht="17.25" hidden="1" thickTop="1" thickBot="1" x14ac:dyDescent="0.3">
      <c r="A134" s="4"/>
      <c r="B134" s="218"/>
      <c r="C134" s="564"/>
      <c r="D134" s="564"/>
      <c r="E134" s="565"/>
      <c r="F134" s="565"/>
      <c r="G134" s="566"/>
      <c r="H134" s="583"/>
      <c r="I134" s="575"/>
      <c r="J134" s="575"/>
      <c r="K134" s="576"/>
      <c r="L134" s="576"/>
      <c r="M134" s="576"/>
      <c r="N134" s="576"/>
      <c r="O134" s="567"/>
      <c r="P134" s="6"/>
    </row>
    <row r="135" spans="1:16" ht="16.5" hidden="1" thickBot="1" x14ac:dyDescent="0.3">
      <c r="A135" s="4"/>
      <c r="B135" s="218"/>
      <c r="C135" s="572" t="s">
        <v>86</v>
      </c>
      <c r="D135" s="572"/>
      <c r="E135" s="584"/>
      <c r="F135" s="585">
        <f>IF(F133&gt;=0,IF(F133&lt;F140,1+(F133)*(J140-1)/(F140-0),IF(F133&lt;F141,J140+(F133-F140)*(J141-J140)/(F141-F140),J141+(F133-F141)*(J142-J141)/(F142-F141))),1+0.1*IF(INT(-F133/2)&lt;&gt;-F133/2,INT(-F133/2+1),INT(-F133/2)))</f>
        <v>0.59300000000000008</v>
      </c>
      <c r="G135" s="586"/>
      <c r="H135" s="566"/>
      <c r="I135" s="255"/>
      <c r="J135" s="256" t="s">
        <v>25</v>
      </c>
      <c r="K135" s="257">
        <f>F144</f>
        <v>734.7</v>
      </c>
      <c r="L135" s="258" t="s">
        <v>4</v>
      </c>
      <c r="M135" s="572"/>
      <c r="N135" s="572"/>
      <c r="O135" s="567"/>
      <c r="P135" s="6"/>
    </row>
    <row r="136" spans="1:16" ht="16.5" hidden="1" thickBot="1" x14ac:dyDescent="0.3">
      <c r="A136" s="4"/>
      <c r="B136" s="218"/>
      <c r="C136" s="570"/>
      <c r="D136" s="570"/>
      <c r="E136" s="565"/>
      <c r="F136" s="587"/>
      <c r="G136" s="572"/>
      <c r="H136" s="566"/>
      <c r="I136" s="236" t="s">
        <v>122</v>
      </c>
      <c r="J136" s="237"/>
      <c r="K136" s="236"/>
      <c r="L136" s="238"/>
      <c r="M136" s="572"/>
      <c r="N136" s="572"/>
      <c r="O136" s="567"/>
      <c r="P136" s="6"/>
    </row>
    <row r="137" spans="1:16" ht="16.5" hidden="1" thickBot="1" x14ac:dyDescent="0.3">
      <c r="A137" s="4"/>
      <c r="B137" s="218"/>
      <c r="C137" s="570"/>
      <c r="D137" s="570"/>
      <c r="E137" s="565"/>
      <c r="F137" s="587"/>
      <c r="G137" s="572"/>
      <c r="H137" s="566"/>
      <c r="I137" s="231" t="s">
        <v>123</v>
      </c>
      <c r="J137" s="230"/>
      <c r="K137" s="236" t="s">
        <v>124</v>
      </c>
      <c r="L137" s="238"/>
      <c r="M137" s="572"/>
      <c r="N137" s="572"/>
      <c r="O137" s="567"/>
      <c r="P137" s="6"/>
    </row>
    <row r="138" spans="1:16" ht="16.5" hidden="1" thickBot="1" x14ac:dyDescent="0.3">
      <c r="A138" s="4"/>
      <c r="B138" s="218"/>
      <c r="C138" s="570"/>
      <c r="D138" s="570"/>
      <c r="E138" s="565"/>
      <c r="F138" s="587"/>
      <c r="G138" s="572"/>
      <c r="H138" s="572"/>
      <c r="I138" s="463">
        <f>K138+300</f>
        <v>420.49760000000003</v>
      </c>
      <c r="J138" s="464"/>
      <c r="K138" s="463">
        <f>K149*F135</f>
        <v>120.49760000000002</v>
      </c>
      <c r="L138" s="464"/>
      <c r="M138" s="588"/>
      <c r="N138" s="588"/>
      <c r="O138" s="567"/>
      <c r="P138" s="6"/>
    </row>
    <row r="139" spans="1:16" ht="15.75" hidden="1" x14ac:dyDescent="0.25">
      <c r="A139" s="4"/>
      <c r="B139" s="218"/>
      <c r="C139" s="570"/>
      <c r="D139" s="570"/>
      <c r="E139" s="565"/>
      <c r="F139" s="587"/>
      <c r="G139" s="572"/>
      <c r="H139" s="572"/>
      <c r="I139" s="606"/>
      <c r="J139" s="607"/>
      <c r="K139" s="606"/>
      <c r="L139" s="607"/>
      <c r="M139" s="588"/>
      <c r="N139" s="588"/>
      <c r="O139" s="567"/>
      <c r="P139" s="6"/>
    </row>
    <row r="140" spans="1:16" ht="15.75" hidden="1" x14ac:dyDescent="0.25">
      <c r="A140" s="4"/>
      <c r="B140" s="218"/>
      <c r="C140" s="570"/>
      <c r="D140" s="465" t="s">
        <v>125</v>
      </c>
      <c r="E140" s="466"/>
      <c r="F140" s="467">
        <v>10</v>
      </c>
      <c r="G140" s="653"/>
      <c r="H140" s="468" t="s">
        <v>103</v>
      </c>
      <c r="I140" s="469"/>
      <c r="J140" s="470">
        <v>0.85</v>
      </c>
      <c r="K140" s="471" t="s">
        <v>104</v>
      </c>
      <c r="L140" s="608"/>
      <c r="M140" s="609"/>
      <c r="N140" s="588"/>
      <c r="O140" s="567"/>
      <c r="P140" s="6"/>
    </row>
    <row r="141" spans="1:16" ht="15.75" hidden="1" x14ac:dyDescent="0.25">
      <c r="A141" s="4"/>
      <c r="B141" s="218"/>
      <c r="C141" s="570"/>
      <c r="D141" s="472" t="s">
        <v>126</v>
      </c>
      <c r="E141" s="610"/>
      <c r="F141" s="611">
        <v>20</v>
      </c>
      <c r="G141" s="654"/>
      <c r="H141" s="612" t="s">
        <v>103</v>
      </c>
      <c r="I141" s="439"/>
      <c r="J141" s="473">
        <v>0.67</v>
      </c>
      <c r="K141" s="471" t="s">
        <v>106</v>
      </c>
      <c r="L141" s="608"/>
      <c r="M141" s="609"/>
      <c r="N141" s="588"/>
      <c r="O141" s="567"/>
      <c r="P141" s="6"/>
    </row>
    <row r="142" spans="1:16" ht="15.75" hidden="1" x14ac:dyDescent="0.25">
      <c r="A142" s="4"/>
      <c r="B142" s="218"/>
      <c r="C142" s="570"/>
      <c r="D142" s="474" t="s">
        <v>126</v>
      </c>
      <c r="E142" s="475"/>
      <c r="F142" s="476">
        <v>30</v>
      </c>
      <c r="G142" s="655"/>
      <c r="H142" s="477" t="s">
        <v>103</v>
      </c>
      <c r="I142" s="478"/>
      <c r="J142" s="479">
        <v>0.56000000000000005</v>
      </c>
      <c r="K142" s="471" t="s">
        <v>107</v>
      </c>
      <c r="L142" s="608"/>
      <c r="M142" s="609"/>
      <c r="N142" s="588"/>
      <c r="O142" s="567"/>
      <c r="P142" s="6"/>
    </row>
    <row r="143" spans="1:16" ht="15.75" hidden="1" x14ac:dyDescent="0.25">
      <c r="A143" s="4"/>
      <c r="B143" s="218"/>
      <c r="C143" s="570"/>
      <c r="D143" s="570"/>
      <c r="E143" s="565"/>
      <c r="F143" s="577"/>
      <c r="G143" s="589"/>
      <c r="H143" s="590"/>
      <c r="I143" s="591"/>
      <c r="J143" s="590"/>
      <c r="K143" s="591"/>
      <c r="L143" s="590"/>
      <c r="M143" s="591"/>
      <c r="N143" s="590"/>
      <c r="O143" s="567"/>
      <c r="P143" s="6"/>
    </row>
    <row r="144" spans="1:16" ht="19.5" hidden="1" thickBot="1" x14ac:dyDescent="0.3">
      <c r="A144" s="4"/>
      <c r="B144" s="218"/>
      <c r="C144" s="564" t="s">
        <v>50</v>
      </c>
      <c r="D144" s="564"/>
      <c r="E144" s="565"/>
      <c r="F144" s="548">
        <f>E13</f>
        <v>734.7</v>
      </c>
      <c r="G144" s="566" t="s">
        <v>4</v>
      </c>
      <c r="H144" s="573"/>
      <c r="I144" s="592" t="str">
        <f>IF(F144&lt;=840," ","masse maximale 840 kg dépassée")</f>
        <v xml:space="preserve"> </v>
      </c>
      <c r="J144" s="575"/>
      <c r="K144" s="576"/>
      <c r="L144" s="576"/>
      <c r="M144" s="576"/>
      <c r="N144" s="576"/>
      <c r="O144" s="567"/>
      <c r="P144" s="6"/>
    </row>
    <row r="145" spans="1:16" ht="17.25" hidden="1" thickTop="1" thickBot="1" x14ac:dyDescent="0.3">
      <c r="A145" s="4"/>
      <c r="B145" s="218"/>
      <c r="C145" s="564"/>
      <c r="D145" s="564"/>
      <c r="E145" s="565"/>
      <c r="F145" s="565"/>
      <c r="G145" s="566"/>
      <c r="H145" s="573"/>
      <c r="I145" s="573"/>
      <c r="J145" s="575"/>
      <c r="K145" s="576"/>
      <c r="L145" s="576"/>
      <c r="M145" s="576"/>
      <c r="N145" s="576"/>
      <c r="O145" s="567"/>
      <c r="P145" s="6"/>
    </row>
    <row r="146" spans="1:16" ht="16.5" hidden="1" thickBot="1" x14ac:dyDescent="0.3">
      <c r="A146" s="4"/>
      <c r="B146" s="218"/>
      <c r="C146" s="586" t="s">
        <v>87</v>
      </c>
      <c r="D146" s="586"/>
      <c r="E146" s="584"/>
      <c r="F146" s="584">
        <v>840</v>
      </c>
      <c r="G146" s="586" t="s">
        <v>4</v>
      </c>
      <c r="H146" s="594"/>
      <c r="I146" s="255"/>
      <c r="J146" s="256" t="s">
        <v>25</v>
      </c>
      <c r="K146" s="257">
        <f>F144</f>
        <v>734.7</v>
      </c>
      <c r="L146" s="258" t="s">
        <v>4</v>
      </c>
      <c r="M146" s="576"/>
      <c r="N146" s="576"/>
      <c r="O146" s="567"/>
      <c r="P146" s="6"/>
    </row>
    <row r="147" spans="1:16" ht="16.5" hidden="1" thickBot="1" x14ac:dyDescent="0.3">
      <c r="A147" s="4"/>
      <c r="B147" s="218"/>
      <c r="C147" s="564" t="s">
        <v>88</v>
      </c>
      <c r="D147" s="564"/>
      <c r="E147" s="565"/>
      <c r="F147" s="584">
        <v>750</v>
      </c>
      <c r="G147" s="572" t="s">
        <v>4</v>
      </c>
      <c r="H147" s="594"/>
      <c r="I147" s="236" t="s">
        <v>122</v>
      </c>
      <c r="J147" s="237"/>
      <c r="K147" s="236"/>
      <c r="L147" s="238"/>
      <c r="M147" s="576"/>
      <c r="N147" s="576"/>
      <c r="O147" s="567"/>
      <c r="P147" s="6"/>
    </row>
    <row r="148" spans="1:16" ht="16.5" hidden="1" thickBot="1" x14ac:dyDescent="0.3">
      <c r="A148" s="4"/>
      <c r="B148" s="218"/>
      <c r="C148" s="564"/>
      <c r="D148" s="564"/>
      <c r="E148" s="565"/>
      <c r="F148" s="584"/>
      <c r="G148" s="572"/>
      <c r="H148" s="594"/>
      <c r="I148" s="231" t="s">
        <v>123</v>
      </c>
      <c r="J148" s="230"/>
      <c r="K148" s="236" t="s">
        <v>124</v>
      </c>
      <c r="L148" s="238"/>
      <c r="M148" s="576"/>
      <c r="N148" s="576"/>
      <c r="O148" s="567"/>
      <c r="P148" s="6"/>
    </row>
    <row r="149" spans="1:16" ht="16.5" hidden="1" thickBot="1" x14ac:dyDescent="0.3">
      <c r="A149" s="4"/>
      <c r="B149" s="218"/>
      <c r="C149" s="570"/>
      <c r="D149" s="570"/>
      <c r="E149" s="565"/>
      <c r="F149" s="587"/>
      <c r="G149" s="572"/>
      <c r="H149" s="576"/>
      <c r="I149" s="463">
        <f>K149+300</f>
        <v>503.20000000000005</v>
      </c>
      <c r="J149" s="464"/>
      <c r="K149" s="463">
        <f>IF(F144&lt;841,L131+($F$144-$F$147)*(H131-L131)/($F$146-$F$147),"#####")</f>
        <v>203.20000000000002</v>
      </c>
      <c r="L149" s="464"/>
      <c r="M149" s="591"/>
      <c r="N149" s="591"/>
      <c r="O149" s="567"/>
      <c r="P149" s="6"/>
    </row>
    <row r="150" spans="1:16" ht="15.75" hidden="1" x14ac:dyDescent="0.25">
      <c r="A150" s="4"/>
      <c r="B150" s="218"/>
      <c r="C150" s="570"/>
      <c r="D150" s="570"/>
      <c r="E150" s="565"/>
      <c r="F150" s="577"/>
      <c r="G150" s="588"/>
      <c r="H150" s="590"/>
      <c r="I150" s="591"/>
      <c r="J150" s="590"/>
      <c r="K150" s="591"/>
      <c r="L150" s="590"/>
      <c r="M150" s="591"/>
      <c r="N150" s="590"/>
      <c r="O150" s="567"/>
      <c r="P150" s="6"/>
    </row>
    <row r="151" spans="1:16" ht="18.75" hidden="1" x14ac:dyDescent="0.3">
      <c r="A151" s="4"/>
      <c r="B151" s="218"/>
      <c r="C151" s="259" t="s">
        <v>127</v>
      </c>
      <c r="D151" s="595"/>
      <c r="E151" s="596"/>
      <c r="F151" s="260"/>
      <c r="G151" s="261"/>
      <c r="H151" s="261"/>
      <c r="I151" s="596"/>
      <c r="J151" s="596"/>
      <c r="K151" s="596"/>
      <c r="L151" s="596"/>
      <c r="M151" s="596"/>
      <c r="N151" s="596"/>
      <c r="O151" s="567"/>
      <c r="P151" s="6"/>
    </row>
    <row r="152" spans="1:16" ht="15.75" hidden="1" thickBot="1" x14ac:dyDescent="0.3">
      <c r="A152" s="4"/>
      <c r="B152" s="218"/>
      <c r="C152" s="278"/>
      <c r="D152" s="279"/>
      <c r="E152" s="480"/>
      <c r="F152" s="280"/>
      <c r="G152" s="280"/>
      <c r="H152" s="280"/>
      <c r="I152" s="280"/>
      <c r="J152" s="268"/>
      <c r="K152" s="267" t="s">
        <v>128</v>
      </c>
      <c r="L152" s="268">
        <f>K138+300</f>
        <v>420.49760000000003</v>
      </c>
      <c r="M152" s="269" t="s">
        <v>91</v>
      </c>
      <c r="N152" s="281"/>
      <c r="O152" s="567"/>
      <c r="P152" s="6"/>
    </row>
    <row r="153" spans="1:16" ht="27.75" hidden="1" thickBot="1" x14ac:dyDescent="0.3">
      <c r="A153" s="4"/>
      <c r="B153" s="218"/>
      <c r="C153" s="481"/>
      <c r="D153" s="482"/>
      <c r="E153" s="483"/>
      <c r="F153" s="483"/>
      <c r="G153" s="483"/>
      <c r="H153" s="483"/>
      <c r="I153" s="483"/>
      <c r="J153" s="484"/>
      <c r="K153" s="485" t="s">
        <v>129</v>
      </c>
      <c r="L153" s="486">
        <f>K138*1.15+300</f>
        <v>438.57224000000002</v>
      </c>
      <c r="M153" s="487" t="s">
        <v>91</v>
      </c>
      <c r="N153" s="528" t="s">
        <v>143</v>
      </c>
      <c r="O153" s="567"/>
      <c r="P153" s="6"/>
    </row>
    <row r="154" spans="1:16" ht="27.75" hidden="1" thickBot="1" x14ac:dyDescent="0.3">
      <c r="A154" s="4"/>
      <c r="B154" s="218"/>
      <c r="C154" s="488"/>
      <c r="D154" s="489"/>
      <c r="E154" s="490"/>
      <c r="F154" s="490"/>
      <c r="G154" s="490"/>
      <c r="H154" s="490"/>
      <c r="I154" s="490"/>
      <c r="J154" s="491"/>
      <c r="K154" s="492" t="s">
        <v>130</v>
      </c>
      <c r="L154" s="493">
        <f>K138*1.5+300</f>
        <v>480.74639999999999</v>
      </c>
      <c r="M154" s="494" t="s">
        <v>91</v>
      </c>
      <c r="N154" s="529" t="s">
        <v>144</v>
      </c>
      <c r="O154" s="567"/>
      <c r="P154" s="6"/>
    </row>
    <row r="155" spans="1:16" ht="16.5" hidden="1" thickTop="1" thickBot="1" x14ac:dyDescent="0.3">
      <c r="A155" s="4"/>
      <c r="B155" s="597"/>
      <c r="C155" s="598"/>
      <c r="D155" s="598"/>
      <c r="E155" s="598"/>
      <c r="F155" s="598"/>
      <c r="G155" s="598"/>
      <c r="H155" s="598"/>
      <c r="I155" s="598"/>
      <c r="J155" s="598"/>
      <c r="K155" s="598"/>
      <c r="L155" s="598"/>
      <c r="M155" s="598"/>
      <c r="N155" s="598"/>
      <c r="O155" s="235"/>
      <c r="P155" s="6"/>
    </row>
    <row r="156" spans="1:16" hidden="1" x14ac:dyDescent="0.25">
      <c r="A156" s="4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6"/>
    </row>
    <row r="157" spans="1:16" ht="18.75" hidden="1" x14ac:dyDescent="0.25">
      <c r="A157" s="550"/>
      <c r="B157" s="289" t="s">
        <v>108</v>
      </c>
      <c r="C157" s="290"/>
      <c r="D157" s="290"/>
      <c r="E157" s="289"/>
      <c r="F157" s="291"/>
      <c r="G157" s="291"/>
      <c r="H157" s="291"/>
      <c r="I157" s="291"/>
      <c r="J157" s="291"/>
      <c r="K157" s="291"/>
      <c r="L157" s="291"/>
      <c r="M157" s="291"/>
      <c r="N157" s="291"/>
      <c r="O157" s="3"/>
      <c r="P157" s="6"/>
    </row>
    <row r="158" spans="1:16" ht="15.75" hidden="1" x14ac:dyDescent="0.25">
      <c r="A158" s="4"/>
      <c r="B158" s="381"/>
      <c r="C158" s="382" t="s">
        <v>131</v>
      </c>
      <c r="D158" s="382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4"/>
      <c r="P158" s="6"/>
    </row>
    <row r="159" spans="1:16" ht="16.5" hidden="1" thickBot="1" x14ac:dyDescent="0.3">
      <c r="A159" s="4"/>
      <c r="B159" s="385"/>
      <c r="C159" s="386" t="s">
        <v>132</v>
      </c>
      <c r="D159" s="387"/>
      <c r="E159" s="388"/>
      <c r="F159" s="388"/>
      <c r="G159" s="388"/>
      <c r="H159" s="388"/>
      <c r="I159" s="388"/>
      <c r="J159" s="388"/>
      <c r="K159" s="388"/>
      <c r="L159" s="388"/>
      <c r="M159" s="388"/>
      <c r="N159" s="388"/>
      <c r="O159" s="389"/>
      <c r="P159" s="6"/>
    </row>
    <row r="160" spans="1:16" ht="15.75" hidden="1" thickBot="1" x14ac:dyDescent="0.3">
      <c r="A160" s="4"/>
      <c r="B160" s="398"/>
      <c r="C160" s="416"/>
      <c r="D160" s="495" t="s">
        <v>133</v>
      </c>
      <c r="E160" s="496"/>
      <c r="F160" s="497"/>
      <c r="G160" s="497"/>
      <c r="H160" s="497"/>
      <c r="I160" s="497"/>
      <c r="J160" s="498">
        <v>840</v>
      </c>
      <c r="K160" s="499" t="s">
        <v>4</v>
      </c>
      <c r="L160" s="498">
        <v>750</v>
      </c>
      <c r="M160" s="499" t="s">
        <v>4</v>
      </c>
      <c r="N160" s="424"/>
      <c r="O160" s="403"/>
      <c r="P160" s="6"/>
    </row>
    <row r="161" spans="1:16" ht="15.75" hidden="1" thickBot="1" x14ac:dyDescent="0.3">
      <c r="A161" s="4"/>
      <c r="B161" s="398"/>
      <c r="C161" s="416"/>
      <c r="D161" s="495" t="s">
        <v>134</v>
      </c>
      <c r="E161" s="496"/>
      <c r="F161" s="497"/>
      <c r="G161" s="497"/>
      <c r="H161" s="497"/>
      <c r="I161" s="497"/>
      <c r="J161" s="498">
        <v>120</v>
      </c>
      <c r="K161" s="499" t="s">
        <v>135</v>
      </c>
      <c r="L161" s="498">
        <v>110</v>
      </c>
      <c r="M161" s="499" t="s">
        <v>135</v>
      </c>
      <c r="N161" s="424"/>
      <c r="O161" s="403"/>
      <c r="P161" s="6"/>
    </row>
    <row r="162" spans="1:16" ht="15.75" hidden="1" thickBot="1" x14ac:dyDescent="0.3">
      <c r="A162" s="4"/>
      <c r="B162" s="398"/>
      <c r="C162" s="416"/>
      <c r="D162" s="495" t="s">
        <v>136</v>
      </c>
      <c r="E162" s="496"/>
      <c r="F162" s="497"/>
      <c r="G162" s="497"/>
      <c r="H162" s="497"/>
      <c r="I162" s="497"/>
      <c r="J162" s="498">
        <v>250</v>
      </c>
      <c r="K162" s="499" t="s">
        <v>91</v>
      </c>
      <c r="L162" s="498">
        <v>210</v>
      </c>
      <c r="M162" s="499" t="s">
        <v>91</v>
      </c>
      <c r="N162" s="424"/>
      <c r="O162" s="403"/>
      <c r="P162" s="6"/>
    </row>
    <row r="163" spans="1:16" hidden="1" x14ac:dyDescent="0.25">
      <c r="A163" s="4"/>
      <c r="B163" s="441"/>
      <c r="C163" s="442"/>
      <c r="D163" s="442"/>
      <c r="E163" s="443"/>
      <c r="F163" s="444"/>
      <c r="G163" s="445"/>
      <c r="H163" s="446"/>
      <c r="I163" s="445"/>
      <c r="J163" s="446"/>
      <c r="K163" s="445"/>
      <c r="L163" s="446"/>
      <c r="M163" s="447"/>
      <c r="N163" s="424"/>
      <c r="O163" s="408"/>
      <c r="P163" s="6"/>
    </row>
    <row r="164" spans="1:16" hidden="1" x14ac:dyDescent="0.25">
      <c r="A164" s="4"/>
      <c r="B164" s="448"/>
      <c r="C164" s="358"/>
      <c r="D164" s="500" t="s">
        <v>137</v>
      </c>
      <c r="E164" s="447"/>
      <c r="F164" s="449"/>
      <c r="G164" s="450"/>
      <c r="H164" s="451"/>
      <c r="I164" s="447"/>
      <c r="J164" s="447"/>
      <c r="K164" s="447"/>
      <c r="L164" s="451"/>
      <c r="M164" s="447"/>
      <c r="N164" s="452"/>
      <c r="O164" s="397"/>
      <c r="P164" s="6"/>
    </row>
    <row r="165" spans="1:16" hidden="1" x14ac:dyDescent="0.25">
      <c r="A165" s="4"/>
      <c r="B165" s="453"/>
      <c r="C165" s="367"/>
      <c r="D165" s="367"/>
      <c r="E165" s="367"/>
      <c r="F165" s="454"/>
      <c r="G165" s="455"/>
      <c r="H165" s="456"/>
      <c r="I165" s="367"/>
      <c r="J165" s="367"/>
      <c r="K165" s="367"/>
      <c r="L165" s="456"/>
      <c r="M165" s="367"/>
      <c r="N165" s="456"/>
      <c r="O165" s="457"/>
      <c r="P165" s="6"/>
    </row>
    <row r="166" spans="1:16" hidden="1" x14ac:dyDescent="0.25">
      <c r="A166" s="6"/>
      <c r="B166" s="4"/>
      <c r="C166" s="376"/>
      <c r="D166" s="376"/>
      <c r="E166" s="377"/>
      <c r="F166" s="378"/>
      <c r="G166" s="379"/>
      <c r="H166" s="380"/>
      <c r="I166" s="379"/>
      <c r="J166" s="380"/>
      <c r="K166" s="379"/>
      <c r="L166" s="380"/>
      <c r="M166" s="379"/>
      <c r="N166" s="380"/>
      <c r="O166" s="4"/>
      <c r="P166" s="6"/>
    </row>
  </sheetData>
  <sheetProtection sheet="1" selectLockedCells="1"/>
  <mergeCells count="20">
    <mergeCell ref="G9:H9"/>
    <mergeCell ref="L8:M8"/>
    <mergeCell ref="B1:G2"/>
    <mergeCell ref="H1:N1"/>
    <mergeCell ref="H2:N2"/>
    <mergeCell ref="G5:G7"/>
    <mergeCell ref="H5:N5"/>
    <mergeCell ref="J6:K6"/>
    <mergeCell ref="L6:M6"/>
    <mergeCell ref="D105:E105"/>
    <mergeCell ref="H13:N13"/>
    <mergeCell ref="G19:I19"/>
    <mergeCell ref="J19:K20"/>
    <mergeCell ref="L19:N20"/>
    <mergeCell ref="G20:I20"/>
    <mergeCell ref="G26:I26"/>
    <mergeCell ref="G29:I29"/>
    <mergeCell ref="H40:H42"/>
    <mergeCell ref="K41:L41"/>
    <mergeCell ref="M41:N41"/>
  </mergeCells>
  <conditionalFormatting sqref="E7">
    <cfRule type="expression" dxfId="10" priority="4" stopIfTrue="1">
      <formula>I6&gt;1500</formula>
    </cfRule>
  </conditionalFormatting>
  <conditionalFormatting sqref="E9">
    <cfRule type="expression" dxfId="9" priority="3" stopIfTrue="1">
      <formula>E9&gt;45</formula>
    </cfRule>
  </conditionalFormatting>
  <conditionalFormatting sqref="F42">
    <cfRule type="expression" dxfId="7" priority="5" stopIfTrue="1">
      <formula>J41&gt;1500</formula>
    </cfRule>
  </conditionalFormatting>
  <conditionalFormatting sqref="F144">
    <cfRule type="cellIs" dxfId="6" priority="9" stopIfTrue="1" operator="greaterThan">
      <formula>840</formula>
    </cfRule>
    <cfRule type="cellIs" dxfId="5" priority="10" stopIfTrue="1" operator="greaterThan">
      <formula>1045</formula>
    </cfRule>
  </conditionalFormatting>
  <conditionalFormatting sqref="H7">
    <cfRule type="expression" dxfId="4" priority="6" stopIfTrue="1">
      <formula>I6&gt;1500</formula>
    </cfRule>
  </conditionalFormatting>
  <conditionalFormatting sqref="I42">
    <cfRule type="expression" dxfId="3" priority="11" stopIfTrue="1">
      <formula>J41&gt;1500</formula>
    </cfRule>
  </conditionalFormatting>
  <conditionalFormatting sqref="L6">
    <cfRule type="cellIs" dxfId="2" priority="7" stopIfTrue="1" operator="greaterThan">
      <formula>1500</formula>
    </cfRule>
  </conditionalFormatting>
  <conditionalFormatting sqref="M41">
    <cfRule type="cellIs" dxfId="1" priority="13" stopIfTrue="1" operator="greaterThan">
      <formula>1500</formula>
    </cfRule>
  </conditionalFormatting>
  <conditionalFormatting sqref="R41">
    <cfRule type="cellIs" dxfId="0" priority="14" stopIfTrue="1" operator="greaterThan">
      <formula>1500</formula>
    </cfRule>
  </conditionalFormatting>
  <pageMargins left="0.15748031496062992" right="0" top="0.19685039370078741" bottom="0" header="0" footer="0"/>
  <pageSetup paperSize="9" scale="95" orientation="portrait" r:id="rId1"/>
  <ignoredErrors>
    <ignoredError sqref="H46:L49 H53:L53 L80:L9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DBAF875B-728C-41B4-A71F-BD76B71023D8}">
            <xm:f>E13&gt;'Masse &amp; Centrage'!$E$55</xm:f>
            <x14:dxf>
              <font>
                <color auto="1"/>
              </font>
              <fill>
                <patternFill>
                  <bgColor rgb="FFFF9999"/>
                </patternFill>
              </fill>
            </x14:dxf>
          </x14:cfRule>
          <xm:sqref>E13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4"/>
  <sheetViews>
    <sheetView showGridLines="0" showRowColHeaders="0" zoomScaleNormal="100" workbookViewId="0">
      <selection activeCell="L26" sqref="L26"/>
    </sheetView>
  </sheetViews>
  <sheetFormatPr defaultColWidth="11.42578125" defaultRowHeight="15" x14ac:dyDescent="0.25"/>
  <cols>
    <col min="1" max="1" width="1.5703125" style="158" customWidth="1"/>
    <col min="2" max="2" width="19.7109375" style="158" customWidth="1"/>
    <col min="3" max="8" width="12.140625" style="158" customWidth="1"/>
    <col min="9" max="9" width="3.42578125" style="158" customWidth="1"/>
    <col min="10" max="10" width="6.5703125" style="158" customWidth="1"/>
    <col min="11" max="11" width="21.7109375" style="158" customWidth="1"/>
    <col min="12" max="12" width="16.7109375" style="158" customWidth="1"/>
    <col min="13" max="13" width="12.7109375" style="158" customWidth="1"/>
    <col min="14" max="14" width="13.7109375" style="158" customWidth="1"/>
    <col min="15" max="15" width="7" style="158" customWidth="1"/>
    <col min="16" max="16" width="9.7109375" style="158" customWidth="1"/>
    <col min="17" max="17" width="2.7109375" style="158" customWidth="1"/>
    <col min="18" max="18" width="3.7109375" style="158" customWidth="1"/>
    <col min="19" max="19" width="1.7109375" style="158" customWidth="1"/>
    <col min="20" max="16384" width="11.42578125" style="158"/>
  </cols>
  <sheetData>
    <row r="1" spans="1:17" ht="35.1" customHeight="1" thickTop="1" thickBot="1" x14ac:dyDescent="0.3">
      <c r="A1" s="171"/>
      <c r="B1" s="726" t="str">
        <f>'Masse &amp; Centrage'!D44</f>
        <v>F-BPCT</v>
      </c>
      <c r="C1" s="729"/>
      <c r="D1" s="729"/>
      <c r="E1" s="729"/>
      <c r="F1" s="729"/>
      <c r="G1" s="729"/>
      <c r="H1" s="729"/>
      <c r="I1" s="613"/>
      <c r="J1" s="726" t="s">
        <v>62</v>
      </c>
      <c r="K1" s="726"/>
      <c r="L1" s="726"/>
      <c r="M1" s="726"/>
      <c r="N1" s="726"/>
      <c r="O1" s="727"/>
    </row>
    <row r="2" spans="1:17" ht="15.75" customHeight="1" x14ac:dyDescent="0.25">
      <c r="A2" s="172"/>
      <c r="B2" s="620" t="s">
        <v>66</v>
      </c>
      <c r="C2" s="728">
        <f ca="1">NOW()</f>
        <v>46185.607252546295</v>
      </c>
      <c r="D2" s="728"/>
      <c r="E2" s="728"/>
      <c r="F2" s="728"/>
      <c r="G2" s="728"/>
      <c r="H2" s="622"/>
      <c r="I2" s="173"/>
      <c r="K2" s="159" t="s">
        <v>57</v>
      </c>
      <c r="L2" s="160"/>
      <c r="M2" s="160"/>
      <c r="N2" s="643">
        <f>+'Masse &amp; Centrage'!D5</f>
        <v>521.29999999999995</v>
      </c>
      <c r="O2" s="173"/>
    </row>
    <row r="3" spans="1:17" ht="15.75" customHeight="1" x14ac:dyDescent="0.25">
      <c r="A3" s="172"/>
      <c r="B3" s="620"/>
      <c r="C3" s="621"/>
      <c r="D3" s="621"/>
      <c r="E3" s="621"/>
      <c r="F3" s="621"/>
      <c r="G3" s="621"/>
      <c r="H3" s="622"/>
      <c r="I3" s="173"/>
      <c r="K3" s="641" t="s">
        <v>18</v>
      </c>
      <c r="L3" s="642">
        <f>+'Masse &amp; Centrage'!D6</f>
        <v>70</v>
      </c>
      <c r="M3" s="647" t="s">
        <v>19</v>
      </c>
      <c r="N3" s="644">
        <f>+'Masse &amp; Centrage'!D7</f>
        <v>80</v>
      </c>
      <c r="O3" s="173"/>
    </row>
    <row r="4" spans="1:17" ht="15.75" customHeight="1" x14ac:dyDescent="0.25">
      <c r="A4" s="172"/>
      <c r="B4" s="730" t="s">
        <v>67</v>
      </c>
      <c r="C4" s="731"/>
      <c r="D4" s="731"/>
      <c r="E4" s="731"/>
      <c r="F4" s="731"/>
      <c r="G4" s="731"/>
      <c r="H4" s="731"/>
      <c r="I4" s="173"/>
      <c r="K4" s="641" t="s">
        <v>36</v>
      </c>
      <c r="L4" s="642">
        <f>+'Masse &amp; Centrage'!D8</f>
        <v>3</v>
      </c>
      <c r="M4" s="647" t="s">
        <v>154</v>
      </c>
      <c r="N4" s="644">
        <f>+'Masse &amp; Centrage'!D9</f>
        <v>10</v>
      </c>
      <c r="O4" s="173"/>
    </row>
    <row r="5" spans="1:17" ht="15.75" thickBot="1" x14ac:dyDescent="0.3">
      <c r="A5" s="172"/>
      <c r="B5" s="623"/>
      <c r="C5" s="623"/>
      <c r="D5" s="623"/>
      <c r="E5" s="623"/>
      <c r="F5" s="623"/>
      <c r="G5" s="623"/>
      <c r="H5" s="623"/>
      <c r="I5" s="173"/>
      <c r="K5" s="161" t="str">
        <f>"Essence ("&amp;'Masse &amp; Centrage'!C10&amp;" litres)"</f>
        <v>Essence (110 litres)</v>
      </c>
      <c r="L5" s="665">
        <f>'Masse &amp; Centrage'!C11</f>
        <v>0.18333333333333335</v>
      </c>
      <c r="M5" s="162"/>
      <c r="N5" s="644">
        <f>+'Masse &amp; Centrage'!D10</f>
        <v>79.2</v>
      </c>
      <c r="O5" s="173"/>
    </row>
    <row r="6" spans="1:17" ht="15.75" thickBot="1" x14ac:dyDescent="0.3">
      <c r="A6" s="172"/>
      <c r="B6" s="624"/>
      <c r="C6" s="734" t="s">
        <v>55</v>
      </c>
      <c r="D6" s="735"/>
      <c r="E6" s="734" t="s">
        <v>56</v>
      </c>
      <c r="F6" s="735"/>
      <c r="G6" s="734" t="s">
        <v>60</v>
      </c>
      <c r="H6" s="735"/>
      <c r="I6" s="173"/>
      <c r="K6" s="617" t="s">
        <v>20</v>
      </c>
      <c r="L6" s="618"/>
      <c r="M6" s="619"/>
      <c r="N6" s="645">
        <f>'Masse &amp; Centrage'!D13</f>
        <v>763.5</v>
      </c>
      <c r="O6" s="173"/>
    </row>
    <row r="7" spans="1:17" ht="18" customHeight="1" thickBot="1" x14ac:dyDescent="0.3">
      <c r="A7" s="172"/>
      <c r="B7" s="624"/>
      <c r="C7" s="736" t="str">
        <f>'Perfos Départ'!H2</f>
        <v>LFPN</v>
      </c>
      <c r="D7" s="737"/>
      <c r="E7" s="736" t="str">
        <f>'Perfos Destination'!H2</f>
        <v>LFPZ</v>
      </c>
      <c r="F7" s="737"/>
      <c r="G7" s="736">
        <f>'Perfos Dégagement'!H2</f>
        <v>0</v>
      </c>
      <c r="H7" s="737"/>
      <c r="I7" s="173"/>
      <c r="K7" s="208" t="str">
        <f>"Délestage ("&amp;'Masse &amp; Centrage'!C14&amp;" litres)"</f>
        <v>Délestage (40 litres)</v>
      </c>
      <c r="L7" s="664">
        <f>'Masse &amp; Centrage'!C15</f>
        <v>0.11666666666666665</v>
      </c>
      <c r="M7" s="160"/>
      <c r="N7" s="643">
        <f>'Masse &amp; Centrage'!D14</f>
        <v>-28.799999999999997</v>
      </c>
      <c r="O7" s="173"/>
    </row>
    <row r="8" spans="1:17" ht="18" customHeight="1" thickBot="1" x14ac:dyDescent="0.3">
      <c r="A8" s="172"/>
      <c r="B8" s="660" t="s">
        <v>5</v>
      </c>
      <c r="C8" s="738">
        <f>'Perfos Départ'!E5</f>
        <v>1025</v>
      </c>
      <c r="D8" s="739" t="s">
        <v>2</v>
      </c>
      <c r="E8" s="738">
        <f>'Perfos Destination'!E5</f>
        <v>1025</v>
      </c>
      <c r="F8" s="739" t="s">
        <v>2</v>
      </c>
      <c r="G8" s="738">
        <f>'Perfos Dégagement'!E5</f>
        <v>1013</v>
      </c>
      <c r="H8" s="739" t="s">
        <v>2</v>
      </c>
      <c r="I8" s="173"/>
      <c r="K8" s="209" t="s">
        <v>22</v>
      </c>
      <c r="L8" s="210"/>
      <c r="M8" s="211"/>
      <c r="N8" s="646">
        <f>'Masse &amp; Centrage'!D16</f>
        <v>734.7</v>
      </c>
      <c r="O8" s="173"/>
    </row>
    <row r="9" spans="1:17" ht="18" customHeight="1" x14ac:dyDescent="0.25">
      <c r="A9" s="172"/>
      <c r="B9" s="661" t="s">
        <v>11</v>
      </c>
      <c r="C9" s="740">
        <f>'Perfos Départ'!E7</f>
        <v>538</v>
      </c>
      <c r="D9" s="741" t="s">
        <v>1</v>
      </c>
      <c r="E9" s="740">
        <f>'Perfos Destination'!E7</f>
        <v>372</v>
      </c>
      <c r="F9" s="741" t="s">
        <v>1</v>
      </c>
      <c r="G9" s="740">
        <f>'Perfos Dégagement'!E7</f>
        <v>0</v>
      </c>
      <c r="H9" s="741" t="s">
        <v>1</v>
      </c>
      <c r="I9" s="615"/>
      <c r="J9" s="86"/>
      <c r="K9" s="174"/>
      <c r="L9" s="174"/>
      <c r="M9" s="174"/>
      <c r="N9" s="174"/>
      <c r="O9" s="175"/>
    </row>
    <row r="10" spans="1:17" ht="18" customHeight="1" x14ac:dyDescent="0.25">
      <c r="A10" s="172"/>
      <c r="B10" s="661" t="s">
        <v>49</v>
      </c>
      <c r="C10" s="740">
        <f>'Perfos Départ'!N42</f>
        <v>202</v>
      </c>
      <c r="D10" s="741" t="s">
        <v>1</v>
      </c>
      <c r="E10" s="740">
        <f>'Perfos Destination'!N42</f>
        <v>36</v>
      </c>
      <c r="F10" s="741" t="s">
        <v>1</v>
      </c>
      <c r="G10" s="740">
        <f>'Perfos Dégagement'!N42</f>
        <v>0</v>
      </c>
      <c r="H10" s="741" t="s">
        <v>1</v>
      </c>
      <c r="I10" s="182"/>
      <c r="J10" s="176"/>
      <c r="K10" s="177"/>
      <c r="L10" s="177"/>
      <c r="M10" s="177"/>
      <c r="N10" s="177"/>
      <c r="O10" s="178"/>
    </row>
    <row r="11" spans="1:17" ht="18" customHeight="1" x14ac:dyDescent="0.25">
      <c r="A11" s="172"/>
      <c r="B11" s="661" t="s">
        <v>151</v>
      </c>
      <c r="C11" s="740" cm="1">
        <f t="array" ref="C11:D11">+'Perfos Départ'!L8:M8</f>
        <v>1330.48</v>
      </c>
      <c r="D11" s="741">
        <v>0</v>
      </c>
      <c r="E11" s="740" cm="1">
        <f t="array" ref="E11:F11">+'Perfos Destination'!L8:M8</f>
        <v>1124.6399999999999</v>
      </c>
      <c r="F11" s="741">
        <v>0</v>
      </c>
      <c r="G11" s="740" cm="1">
        <f t="array" ref="G11:H11">+'Perfos Dégagement'!L8:M8</f>
        <v>-1800</v>
      </c>
      <c r="H11" s="741">
        <v>0</v>
      </c>
      <c r="I11" s="182"/>
      <c r="J11" s="163"/>
      <c r="K11" s="179"/>
      <c r="L11" s="179"/>
      <c r="M11" s="179"/>
      <c r="N11" s="179"/>
      <c r="O11" s="180"/>
      <c r="P11" s="86"/>
      <c r="Q11" s="163"/>
    </row>
    <row r="12" spans="1:17" ht="18" customHeight="1" x14ac:dyDescent="0.25">
      <c r="A12" s="172"/>
      <c r="B12" s="661" t="s">
        <v>0</v>
      </c>
      <c r="C12" s="742">
        <f>'Perfos Départ'!E9</f>
        <v>24</v>
      </c>
      <c r="D12" s="743" t="s">
        <v>7</v>
      </c>
      <c r="E12" s="742">
        <f>'Perfos Destination'!E9</f>
        <v>24</v>
      </c>
      <c r="F12" s="743" t="s">
        <v>7</v>
      </c>
      <c r="G12" s="742">
        <f>'Perfos Dégagement'!E9</f>
        <v>0</v>
      </c>
      <c r="H12" s="743" t="s">
        <v>7</v>
      </c>
      <c r="I12" s="181"/>
      <c r="J12" s="163"/>
      <c r="K12" s="179"/>
      <c r="L12" s="179"/>
      <c r="M12" s="179"/>
      <c r="N12" s="179"/>
      <c r="O12" s="180"/>
      <c r="P12" s="86"/>
      <c r="Q12" s="163"/>
    </row>
    <row r="13" spans="1:17" ht="18" customHeight="1" x14ac:dyDescent="0.25">
      <c r="A13" s="172"/>
      <c r="B13" s="661" t="s">
        <v>166</v>
      </c>
      <c r="C13" s="742">
        <f>+'Perfos Départ'!G9</f>
        <v>9</v>
      </c>
      <c r="D13" s="743"/>
      <c r="E13" s="742">
        <f>+'Perfos Destination'!G9</f>
        <v>9</v>
      </c>
      <c r="F13" s="743"/>
      <c r="G13" s="742">
        <f>+'Perfos Dégagement'!G9</f>
        <v>-15</v>
      </c>
      <c r="H13" s="743"/>
      <c r="I13" s="181"/>
      <c r="J13" s="163"/>
      <c r="K13" s="179"/>
      <c r="L13" s="179"/>
      <c r="M13" s="179"/>
      <c r="N13" s="179"/>
      <c r="O13" s="180"/>
      <c r="P13" s="86"/>
      <c r="Q13" s="163"/>
    </row>
    <row r="14" spans="1:17" ht="18" customHeight="1" x14ac:dyDescent="0.25">
      <c r="A14" s="172"/>
      <c r="B14" s="662" t="s">
        <v>46</v>
      </c>
      <c r="C14" s="744">
        <f>'Perfos Départ'!E11</f>
        <v>9</v>
      </c>
      <c r="D14" s="745" t="s">
        <v>3</v>
      </c>
      <c r="E14" s="744">
        <f>'Perfos Destination'!E11</f>
        <v>7</v>
      </c>
      <c r="F14" s="745" t="s">
        <v>3</v>
      </c>
      <c r="G14" s="744">
        <f>'Perfos Dégagement'!E11</f>
        <v>0</v>
      </c>
      <c r="H14" s="745" t="s">
        <v>3</v>
      </c>
      <c r="I14" s="181"/>
      <c r="J14" s="163"/>
      <c r="K14" s="163"/>
      <c r="L14" s="163"/>
      <c r="M14" s="163"/>
      <c r="N14" s="163"/>
      <c r="O14" s="181"/>
      <c r="P14" s="164"/>
    </row>
    <row r="15" spans="1:17" ht="18" customHeight="1" thickBot="1" x14ac:dyDescent="0.3">
      <c r="A15" s="172"/>
      <c r="B15" s="663" t="s">
        <v>50</v>
      </c>
      <c r="C15" s="746">
        <f>'Perfos Départ'!E13</f>
        <v>763.5</v>
      </c>
      <c r="D15" s="747" t="s">
        <v>4</v>
      </c>
      <c r="E15" s="746">
        <f>'Perfos Destination'!E13</f>
        <v>734.7</v>
      </c>
      <c r="F15" s="747" t="s">
        <v>4</v>
      </c>
      <c r="G15" s="746">
        <f>'Perfos Dégagement'!E13</f>
        <v>734.7</v>
      </c>
      <c r="H15" s="747" t="s">
        <v>4</v>
      </c>
      <c r="I15" s="173"/>
      <c r="O15" s="173"/>
      <c r="P15" s="163"/>
    </row>
    <row r="16" spans="1:17" ht="9.9499999999999993" customHeight="1" thickBot="1" x14ac:dyDescent="0.3">
      <c r="A16" s="172"/>
      <c r="C16" s="748"/>
      <c r="D16" s="749"/>
      <c r="E16" s="750"/>
      <c r="F16" s="750"/>
      <c r="G16" s="748"/>
      <c r="H16" s="749"/>
      <c r="I16" s="173"/>
      <c r="O16" s="173"/>
      <c r="P16" s="163"/>
    </row>
    <row r="17" spans="1:16" ht="30.75" thickBot="1" x14ac:dyDescent="0.3">
      <c r="A17" s="172"/>
      <c r="B17" s="616"/>
      <c r="C17" s="128" t="s">
        <v>51</v>
      </c>
      <c r="D17" s="631" t="s">
        <v>54</v>
      </c>
      <c r="E17" s="635" t="s">
        <v>52</v>
      </c>
      <c r="F17" s="636" t="s">
        <v>53</v>
      </c>
      <c r="G17" s="635" t="s">
        <v>52</v>
      </c>
      <c r="H17" s="636" t="s">
        <v>53</v>
      </c>
      <c r="I17" s="182"/>
      <c r="J17" s="176"/>
      <c r="K17" s="176"/>
      <c r="L17" s="176"/>
      <c r="M17" s="176"/>
      <c r="N17" s="176"/>
      <c r="O17" s="182"/>
      <c r="P17" s="165"/>
    </row>
    <row r="18" spans="1:16" ht="21.95" customHeight="1" x14ac:dyDescent="0.25">
      <c r="A18" s="172"/>
      <c r="B18" s="155" t="s">
        <v>8</v>
      </c>
      <c r="C18" s="166">
        <f>'Perfos Départ'!G19</f>
        <v>418.02380459821086</v>
      </c>
      <c r="D18" s="632">
        <f>'Perfos Départ'!G28</f>
        <v>514.86599999999999</v>
      </c>
      <c r="E18" s="166">
        <f>'Perfos Destination'!G19</f>
        <v>509.14359999999999</v>
      </c>
      <c r="F18" s="632">
        <f>'Perfos Destination'!G26</f>
        <v>396.40965973201605</v>
      </c>
      <c r="G18" s="638">
        <f>'Perfos Dégagement'!G19</f>
        <v>438.57224000000002</v>
      </c>
      <c r="H18" s="632">
        <f>'Perfos Dégagement'!G26</f>
        <v>397.99008027289881</v>
      </c>
      <c r="I18" s="182"/>
      <c r="J18" s="183"/>
      <c r="K18" s="183"/>
      <c r="L18" s="183"/>
      <c r="M18" s="183"/>
      <c r="N18" s="183"/>
      <c r="O18" s="184"/>
      <c r="P18" s="165"/>
    </row>
    <row r="19" spans="1:16" ht="21.95" customHeight="1" thickBot="1" x14ac:dyDescent="0.3">
      <c r="A19" s="172"/>
      <c r="B19" s="157" t="s">
        <v>164</v>
      </c>
      <c r="C19" s="167"/>
      <c r="D19" s="633">
        <f>'Perfos Départ'!G29</f>
        <v>580.26</v>
      </c>
      <c r="E19" s="168">
        <f>'Perfos Destination'!G20</f>
        <v>572.79600000000005</v>
      </c>
      <c r="F19" s="637"/>
      <c r="G19" s="639">
        <f>'Perfos Dégagement'!G20</f>
        <v>480.74639999999999</v>
      </c>
      <c r="H19" s="637"/>
      <c r="I19" s="184"/>
      <c r="O19" s="173"/>
      <c r="P19" s="164"/>
    </row>
    <row r="20" spans="1:16" ht="21.95" customHeight="1" x14ac:dyDescent="0.25">
      <c r="A20" s="172"/>
      <c r="B20" s="156" t="s">
        <v>148</v>
      </c>
      <c r="C20" s="169">
        <f>'Perfos Départ'!G22</f>
        <v>503.05753786785334</v>
      </c>
      <c r="D20" s="634">
        <f>'Perfos Départ'!G28</f>
        <v>514.86599999999999</v>
      </c>
      <c r="E20" s="169">
        <f>'Perfos Destination'!G19</f>
        <v>509.14359999999999</v>
      </c>
      <c r="F20" s="634">
        <f>'Perfos Destination'!G29</f>
        <v>474.87244990855999</v>
      </c>
      <c r="G20" s="640">
        <f>'Perfos Dégagement'!G19</f>
        <v>438.57224000000002</v>
      </c>
      <c r="H20" s="634">
        <f>'Perfos Dégagement'!G29</f>
        <v>470.35191304978957</v>
      </c>
      <c r="I20" s="173"/>
      <c r="O20" s="173"/>
      <c r="P20" s="164"/>
    </row>
    <row r="21" spans="1:16" ht="21.95" customHeight="1" thickBot="1" x14ac:dyDescent="0.3">
      <c r="A21" s="172"/>
      <c r="B21" s="562" t="s">
        <v>164</v>
      </c>
      <c r="C21" s="170"/>
      <c r="D21" s="633">
        <f>'Perfos Départ'!G29</f>
        <v>580.26</v>
      </c>
      <c r="E21" s="168">
        <f>'Perfos Destination'!G20</f>
        <v>572.79600000000005</v>
      </c>
      <c r="F21" s="637"/>
      <c r="G21" s="639">
        <f>'Perfos Dégagement'!G20</f>
        <v>480.74639999999999</v>
      </c>
      <c r="H21" s="637"/>
      <c r="I21" s="173"/>
      <c r="O21" s="173"/>
    </row>
    <row r="22" spans="1:16" ht="19.5" customHeight="1" x14ac:dyDescent="0.25">
      <c r="A22" s="172"/>
      <c r="C22" s="732" t="s">
        <v>149</v>
      </c>
      <c r="D22" s="733"/>
      <c r="E22" s="733"/>
      <c r="F22" s="733"/>
      <c r="G22" s="733"/>
      <c r="H22" s="733"/>
      <c r="I22" s="173"/>
      <c r="O22" s="173"/>
    </row>
    <row r="23" spans="1:16" ht="15" customHeight="1" thickBot="1" x14ac:dyDescent="0.3">
      <c r="A23" s="185"/>
      <c r="B23" s="186"/>
      <c r="C23" s="186"/>
      <c r="D23" s="186"/>
      <c r="E23" s="186"/>
      <c r="F23" s="186"/>
      <c r="G23" s="186"/>
      <c r="H23" s="186"/>
      <c r="I23" s="188"/>
      <c r="J23" s="187"/>
      <c r="K23" s="187"/>
      <c r="L23" s="187"/>
      <c r="M23" s="187"/>
      <c r="N23" s="187"/>
      <c r="O23" s="188"/>
    </row>
    <row r="24" spans="1:16" ht="15.75" thickTop="1" x14ac:dyDescent="0.25"/>
  </sheetData>
  <sheetProtection sheet="1" objects="1" scenarios="1" selectLockedCells="1" selectUnlockedCells="1"/>
  <mergeCells count="38">
    <mergeCell ref="C15:D15"/>
    <mergeCell ref="E15:F15"/>
    <mergeCell ref="G15:H15"/>
    <mergeCell ref="C16:D16"/>
    <mergeCell ref="E16:F16"/>
    <mergeCell ref="G16:H16"/>
    <mergeCell ref="C12:D12"/>
    <mergeCell ref="E12:F12"/>
    <mergeCell ref="G12:H12"/>
    <mergeCell ref="C14:D14"/>
    <mergeCell ref="E14:F14"/>
    <mergeCell ref="G14:H14"/>
    <mergeCell ref="C13:D13"/>
    <mergeCell ref="E13:F13"/>
    <mergeCell ref="G13:H13"/>
    <mergeCell ref="G9:H9"/>
    <mergeCell ref="C10:D10"/>
    <mergeCell ref="E10:F10"/>
    <mergeCell ref="G10:H10"/>
    <mergeCell ref="C11:D11"/>
    <mergeCell ref="E11:F11"/>
    <mergeCell ref="G11:H11"/>
    <mergeCell ref="J1:O1"/>
    <mergeCell ref="C2:G2"/>
    <mergeCell ref="B1:H1"/>
    <mergeCell ref="B4:H4"/>
    <mergeCell ref="C22:H22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</mergeCells>
  <pageMargins left="0.19685039370078741" right="0.19685039370078741" top="0.39370078740157483" bottom="0" header="0" footer="0"/>
  <pageSetup paperSize="9" scale="80" orientation="landscape" horizontalDpi="4294967293" r:id="rId1"/>
  <ignoredErrors>
    <ignoredError sqref="D19:G19 D20:G20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1D76-8D06-4572-9949-5EDAFF553B24}">
  <dimension ref="A1:Q33"/>
  <sheetViews>
    <sheetView showGridLines="0" topLeftCell="A3" zoomScaleNormal="100" workbookViewId="0">
      <selection activeCell="Q10" sqref="Q10"/>
    </sheetView>
  </sheetViews>
  <sheetFormatPr defaultColWidth="11.42578125" defaultRowHeight="15" x14ac:dyDescent="0.25"/>
  <cols>
    <col min="1" max="1" width="2.7109375" customWidth="1"/>
    <col min="2" max="2" width="3.7109375" customWidth="1"/>
    <col min="3" max="3" width="8.7109375" customWidth="1"/>
    <col min="4" max="4" width="10.7109375" customWidth="1"/>
    <col min="5" max="12" width="8.7109375" customWidth="1"/>
    <col min="13" max="13" width="3.7109375" customWidth="1"/>
    <col min="14" max="14" width="2.7109375" customWidth="1"/>
  </cols>
  <sheetData>
    <row r="1" spans="1:17" ht="35.1" customHeight="1" x14ac:dyDescent="0.25">
      <c r="A1" s="67"/>
      <c r="B1" s="72" t="s">
        <v>145</v>
      </c>
      <c r="C1" s="69"/>
      <c r="D1" s="70"/>
      <c r="E1" s="69"/>
      <c r="F1" s="68"/>
      <c r="G1" s="68"/>
      <c r="H1" s="68"/>
      <c r="I1" s="68"/>
      <c r="J1" s="68"/>
      <c r="K1" s="68"/>
      <c r="L1" s="535"/>
      <c r="M1" s="535"/>
      <c r="N1" s="71"/>
    </row>
    <row r="2" spans="1:17" ht="39.950000000000003" customHeight="1" x14ac:dyDescent="0.25">
      <c r="A2" s="5"/>
      <c r="B2" s="381"/>
      <c r="C2" s="536" t="s">
        <v>96</v>
      </c>
      <c r="D2" s="383"/>
      <c r="E2" s="383"/>
      <c r="F2" s="383"/>
      <c r="G2" s="383"/>
      <c r="H2" s="383"/>
      <c r="I2" s="383"/>
      <c r="J2" s="383"/>
      <c r="K2" s="383"/>
      <c r="L2" s="383"/>
      <c r="M2" s="384"/>
      <c r="N2" s="5"/>
    </row>
    <row r="3" spans="1:17" ht="30" customHeight="1" thickBot="1" x14ac:dyDescent="0.3">
      <c r="A3" s="5"/>
      <c r="B3" s="385"/>
      <c r="C3" s="386" t="s">
        <v>109</v>
      </c>
      <c r="D3" s="388"/>
      <c r="E3" s="388"/>
      <c r="F3" s="388"/>
      <c r="G3" s="388"/>
      <c r="H3" s="388"/>
      <c r="I3" s="388"/>
      <c r="J3" s="388"/>
      <c r="K3" s="388"/>
      <c r="L3" s="388"/>
      <c r="M3" s="389"/>
      <c r="N3" s="5"/>
    </row>
    <row r="4" spans="1:17" ht="39.950000000000003" customHeight="1" thickBot="1" x14ac:dyDescent="0.3">
      <c r="A4" s="5"/>
      <c r="B4" s="390"/>
      <c r="C4" s="711" t="s">
        <v>110</v>
      </c>
      <c r="D4" s="751"/>
      <c r="E4" s="391" t="s">
        <v>111</v>
      </c>
      <c r="F4" s="392"/>
      <c r="G4" s="393" t="s">
        <v>112</v>
      </c>
      <c r="H4" s="394"/>
      <c r="I4" s="392" t="s">
        <v>113</v>
      </c>
      <c r="J4" s="392"/>
      <c r="K4" s="393" t="s">
        <v>114</v>
      </c>
      <c r="L4" s="395"/>
      <c r="M4" s="397"/>
      <c r="N4" s="5"/>
    </row>
    <row r="5" spans="1:17" ht="15" customHeight="1" x14ac:dyDescent="0.25">
      <c r="A5" s="5"/>
      <c r="B5" s="398"/>
      <c r="C5" s="399"/>
      <c r="D5" s="400"/>
      <c r="E5" s="400"/>
      <c r="F5" s="401"/>
      <c r="G5" s="401"/>
      <c r="H5" s="402"/>
      <c r="I5" s="402"/>
      <c r="J5" s="401"/>
      <c r="K5" s="401"/>
      <c r="L5" s="401"/>
      <c r="M5" s="403"/>
      <c r="N5" s="5"/>
    </row>
    <row r="6" spans="1:17" ht="15" customHeight="1" x14ac:dyDescent="0.25">
      <c r="A6" s="5"/>
      <c r="B6" s="398"/>
      <c r="C6" s="404" t="s">
        <v>115</v>
      </c>
      <c r="D6" s="404"/>
      <c r="E6" s="405"/>
      <c r="F6" s="404"/>
      <c r="G6" s="404"/>
      <c r="H6" s="405"/>
      <c r="I6" s="405"/>
      <c r="J6" s="404"/>
      <c r="K6" s="404"/>
      <c r="L6" s="406"/>
      <c r="M6" s="408"/>
      <c r="N6" s="5"/>
    </row>
    <row r="7" spans="1:17" ht="15" customHeight="1" x14ac:dyDescent="0.25">
      <c r="A7" s="5"/>
      <c r="B7" s="398"/>
      <c r="C7" s="410" t="s">
        <v>116</v>
      </c>
      <c r="D7" s="400"/>
      <c r="E7" s="400"/>
      <c r="F7" s="404"/>
      <c r="G7" s="411"/>
      <c r="H7" s="400"/>
      <c r="I7" s="410"/>
      <c r="J7" s="404"/>
      <c r="K7" s="411"/>
      <c r="L7" s="404"/>
      <c r="M7" s="408"/>
      <c r="N7" s="5"/>
    </row>
    <row r="8" spans="1:17" ht="5.0999999999999996" customHeight="1" thickBot="1" x14ac:dyDescent="0.3">
      <c r="A8" s="5"/>
      <c r="B8" s="398"/>
      <c r="C8" s="409"/>
      <c r="D8" s="413"/>
      <c r="E8" s="413"/>
      <c r="F8" s="414"/>
      <c r="G8" s="415"/>
      <c r="H8" s="400"/>
      <c r="I8" s="410"/>
      <c r="J8" s="414"/>
      <c r="K8" s="415"/>
      <c r="L8" s="414"/>
      <c r="M8" s="403"/>
      <c r="N8" s="5"/>
    </row>
    <row r="9" spans="1:17" ht="18" customHeight="1" x14ac:dyDescent="0.25">
      <c r="A9" s="5"/>
      <c r="B9" s="398"/>
      <c r="C9" s="417">
        <v>0</v>
      </c>
      <c r="D9" s="418">
        <f>C9*3.2808</f>
        <v>0</v>
      </c>
      <c r="E9" s="419">
        <v>440</v>
      </c>
      <c r="F9" s="420"/>
      <c r="G9" s="421">
        <v>470</v>
      </c>
      <c r="H9" s="420"/>
      <c r="I9" s="421">
        <v>500</v>
      </c>
      <c r="J9" s="422"/>
      <c r="K9" s="420">
        <v>540</v>
      </c>
      <c r="L9" s="423"/>
      <c r="M9" s="403"/>
      <c r="N9" s="5"/>
    </row>
    <row r="10" spans="1:17" ht="18" customHeight="1" x14ac:dyDescent="0.25">
      <c r="A10" s="5"/>
      <c r="B10" s="398"/>
      <c r="C10" s="425">
        <v>500</v>
      </c>
      <c r="D10" s="426">
        <f>C10*3.2808</f>
        <v>1640.4</v>
      </c>
      <c r="E10" s="427">
        <v>490</v>
      </c>
      <c r="F10" s="404"/>
      <c r="G10" s="428">
        <v>540</v>
      </c>
      <c r="H10" s="404"/>
      <c r="I10" s="428">
        <v>580</v>
      </c>
      <c r="J10" s="429"/>
      <c r="K10" s="404">
        <v>630</v>
      </c>
      <c r="L10" s="430"/>
      <c r="M10" s="403"/>
      <c r="N10" s="5"/>
      <c r="Q10" s="431"/>
    </row>
    <row r="11" spans="1:17" ht="18" customHeight="1" x14ac:dyDescent="0.25">
      <c r="A11" s="5"/>
      <c r="B11" s="398"/>
      <c r="C11" s="425">
        <v>1000</v>
      </c>
      <c r="D11" s="426">
        <f>C11*3.2808</f>
        <v>3280.8</v>
      </c>
      <c r="E11" s="427">
        <v>580</v>
      </c>
      <c r="F11" s="404"/>
      <c r="G11" s="428">
        <v>640</v>
      </c>
      <c r="H11" s="404"/>
      <c r="I11" s="428">
        <v>700</v>
      </c>
      <c r="J11" s="429"/>
      <c r="K11" s="404">
        <v>750</v>
      </c>
      <c r="L11" s="430"/>
      <c r="M11" s="403"/>
      <c r="N11" s="5"/>
    </row>
    <row r="12" spans="1:17" ht="18" customHeight="1" thickBot="1" x14ac:dyDescent="0.3">
      <c r="A12" s="5"/>
      <c r="B12" s="398"/>
      <c r="C12" s="432">
        <v>1500</v>
      </c>
      <c r="D12" s="433">
        <f>C12*3.2808+0.5</f>
        <v>4921.7</v>
      </c>
      <c r="E12" s="434">
        <v>680</v>
      </c>
      <c r="F12" s="435"/>
      <c r="G12" s="436">
        <v>740</v>
      </c>
      <c r="H12" s="435"/>
      <c r="I12" s="436">
        <v>800</v>
      </c>
      <c r="J12" s="437"/>
      <c r="K12" s="435">
        <v>880</v>
      </c>
      <c r="L12" s="438"/>
      <c r="M12" s="403"/>
      <c r="N12" s="5"/>
    </row>
    <row r="13" spans="1:17" ht="15" customHeight="1" x14ac:dyDescent="0.25">
      <c r="A13" s="5"/>
      <c r="B13" s="398"/>
      <c r="C13" s="399"/>
      <c r="D13" s="400"/>
      <c r="E13" s="400"/>
      <c r="F13" s="401"/>
      <c r="G13" s="401"/>
      <c r="H13" s="402"/>
      <c r="I13" s="402"/>
      <c r="J13" s="401"/>
      <c r="K13" s="401"/>
      <c r="L13" s="401"/>
      <c r="M13" s="403"/>
      <c r="N13" s="5"/>
      <c r="Q13" s="431"/>
    </row>
    <row r="14" spans="1:17" ht="15" customHeight="1" x14ac:dyDescent="0.25">
      <c r="A14" s="5"/>
      <c r="B14" s="398"/>
      <c r="C14" s="404" t="s">
        <v>117</v>
      </c>
      <c r="D14" s="404"/>
      <c r="E14" s="405"/>
      <c r="F14" s="404"/>
      <c r="G14" s="404"/>
      <c r="H14" s="405"/>
      <c r="I14" s="405"/>
      <c r="J14" s="404"/>
      <c r="K14" s="404"/>
      <c r="L14" s="406"/>
      <c r="M14" s="408"/>
      <c r="N14" s="5"/>
    </row>
    <row r="15" spans="1:17" ht="15" customHeight="1" x14ac:dyDescent="0.25">
      <c r="A15" s="5"/>
      <c r="B15" s="398"/>
      <c r="C15" s="410" t="s">
        <v>118</v>
      </c>
      <c r="D15" s="400"/>
      <c r="E15" s="400"/>
      <c r="F15" s="404"/>
      <c r="G15" s="411"/>
      <c r="H15" s="400"/>
      <c r="I15" s="410"/>
      <c r="J15" s="404"/>
      <c r="K15" s="411"/>
      <c r="L15" s="404"/>
      <c r="M15" s="408"/>
      <c r="N15" s="5"/>
    </row>
    <row r="16" spans="1:17" ht="5.0999999999999996" customHeight="1" thickBot="1" x14ac:dyDescent="0.3">
      <c r="A16" s="5"/>
      <c r="B16" s="398"/>
      <c r="C16" s="409"/>
      <c r="D16" s="413"/>
      <c r="E16" s="413"/>
      <c r="F16" s="439"/>
      <c r="G16" s="412"/>
      <c r="H16" s="402"/>
      <c r="I16" s="440"/>
      <c r="J16" s="439"/>
      <c r="K16" s="412"/>
      <c r="L16" s="439"/>
      <c r="M16" s="403"/>
      <c r="N16" s="5"/>
    </row>
    <row r="17" spans="1:17" ht="18" customHeight="1" x14ac:dyDescent="0.25">
      <c r="A17" s="5"/>
      <c r="B17" s="398"/>
      <c r="C17" s="417">
        <v>0</v>
      </c>
      <c r="D17" s="418">
        <f>C17*3.2808</f>
        <v>0</v>
      </c>
      <c r="E17" s="419">
        <v>520</v>
      </c>
      <c r="F17" s="420"/>
      <c r="G17" s="421">
        <v>560</v>
      </c>
      <c r="H17" s="420"/>
      <c r="I17" s="421">
        <v>600</v>
      </c>
      <c r="J17" s="422"/>
      <c r="K17" s="420">
        <v>660</v>
      </c>
      <c r="L17" s="423"/>
      <c r="M17" s="403"/>
      <c r="N17" s="5"/>
    </row>
    <row r="18" spans="1:17" ht="18" customHeight="1" x14ac:dyDescent="0.25">
      <c r="A18" s="5"/>
      <c r="B18" s="398"/>
      <c r="C18" s="425">
        <v>500</v>
      </c>
      <c r="D18" s="426">
        <f>C18*3.2808</f>
        <v>1640.4</v>
      </c>
      <c r="E18" s="427">
        <v>600</v>
      </c>
      <c r="F18" s="404"/>
      <c r="G18" s="428">
        <v>660</v>
      </c>
      <c r="H18" s="404"/>
      <c r="I18" s="428">
        <v>730</v>
      </c>
      <c r="J18" s="429"/>
      <c r="K18" s="404">
        <v>800</v>
      </c>
      <c r="L18" s="430"/>
      <c r="M18" s="403"/>
      <c r="N18" s="5"/>
    </row>
    <row r="19" spans="1:17" ht="18" customHeight="1" x14ac:dyDescent="0.25">
      <c r="A19" s="5"/>
      <c r="B19" s="398"/>
      <c r="C19" s="425">
        <v>1000</v>
      </c>
      <c r="D19" s="426">
        <f>C19*3.2808</f>
        <v>3280.8</v>
      </c>
      <c r="E19" s="427">
        <v>720</v>
      </c>
      <c r="F19" s="404"/>
      <c r="G19" s="428">
        <v>800</v>
      </c>
      <c r="H19" s="404"/>
      <c r="I19" s="428">
        <v>870</v>
      </c>
      <c r="J19" s="429"/>
      <c r="K19" s="404">
        <v>960</v>
      </c>
      <c r="L19" s="430"/>
      <c r="M19" s="403"/>
      <c r="N19" s="5"/>
    </row>
    <row r="20" spans="1:17" ht="18" customHeight="1" thickBot="1" x14ac:dyDescent="0.3">
      <c r="A20" s="5"/>
      <c r="B20" s="398"/>
      <c r="C20" s="432">
        <v>1500</v>
      </c>
      <c r="D20" s="433">
        <f>C20*3.2808+0.5</f>
        <v>4921.7</v>
      </c>
      <c r="E20" s="434">
        <v>880</v>
      </c>
      <c r="F20" s="435"/>
      <c r="G20" s="436">
        <v>950</v>
      </c>
      <c r="H20" s="435"/>
      <c r="I20" s="436">
        <v>1020</v>
      </c>
      <c r="J20" s="437"/>
      <c r="K20" s="435">
        <v>1160</v>
      </c>
      <c r="L20" s="438"/>
      <c r="M20" s="403"/>
      <c r="N20" s="5"/>
      <c r="Q20" s="431"/>
    </row>
    <row r="21" spans="1:17" ht="15" customHeight="1" x14ac:dyDescent="0.25">
      <c r="A21" s="5"/>
      <c r="B21" s="441"/>
      <c r="C21" s="442"/>
      <c r="D21" s="443"/>
      <c r="E21" s="444"/>
      <c r="F21" s="445"/>
      <c r="G21" s="446"/>
      <c r="H21" s="445"/>
      <c r="I21" s="446"/>
      <c r="J21" s="445"/>
      <c r="K21" s="446"/>
      <c r="L21" s="447"/>
      <c r="M21" s="408"/>
      <c r="N21" s="5"/>
    </row>
    <row r="22" spans="1:17" ht="24.95" customHeight="1" x14ac:dyDescent="0.25">
      <c r="A22" s="5"/>
      <c r="B22" s="448"/>
      <c r="C22" s="447" t="s">
        <v>119</v>
      </c>
      <c r="D22" s="447"/>
      <c r="E22" s="449"/>
      <c r="F22" s="450"/>
      <c r="G22" s="451"/>
      <c r="H22" s="447"/>
      <c r="I22" s="447"/>
      <c r="J22" s="447"/>
      <c r="K22" s="451"/>
      <c r="L22" s="447"/>
      <c r="M22" s="397"/>
      <c r="N22" s="5"/>
    </row>
    <row r="23" spans="1:17" ht="9.9499999999999993" customHeight="1" x14ac:dyDescent="0.25">
      <c r="A23" s="5"/>
      <c r="B23" s="453"/>
      <c r="C23" s="367"/>
      <c r="D23" s="367"/>
      <c r="E23" s="454"/>
      <c r="F23" s="455"/>
      <c r="G23" s="456"/>
      <c r="H23" s="367"/>
      <c r="I23" s="367"/>
      <c r="J23" s="367"/>
      <c r="K23" s="456"/>
      <c r="L23" s="367"/>
      <c r="M23" s="457"/>
      <c r="N23" s="5"/>
    </row>
    <row r="24" spans="1:17" ht="20.100000000000001" customHeight="1" x14ac:dyDescent="0.25">
      <c r="A24" s="5"/>
      <c r="B24" s="5"/>
      <c r="C24" s="538"/>
      <c r="D24" s="539"/>
      <c r="E24" s="540"/>
      <c r="F24" s="541"/>
      <c r="G24" s="542"/>
      <c r="H24" s="541"/>
      <c r="I24" s="542"/>
      <c r="J24" s="541"/>
      <c r="K24" s="542"/>
      <c r="L24" s="541"/>
      <c r="M24" s="5"/>
      <c r="N24" s="5"/>
    </row>
    <row r="25" spans="1:17" ht="39.950000000000003" customHeight="1" x14ac:dyDescent="0.25">
      <c r="A25" s="5"/>
      <c r="B25" s="381"/>
      <c r="C25" s="536" t="s">
        <v>131</v>
      </c>
      <c r="D25" s="382"/>
      <c r="E25" s="383"/>
      <c r="F25" s="383"/>
      <c r="G25" s="383"/>
      <c r="H25" s="383"/>
      <c r="I25" s="383"/>
      <c r="J25" s="383"/>
      <c r="K25" s="383"/>
      <c r="L25" s="383"/>
      <c r="M25" s="384"/>
      <c r="N25" s="5"/>
    </row>
    <row r="26" spans="1:17" ht="30" customHeight="1" thickBot="1" x14ac:dyDescent="0.3">
      <c r="A26" s="5"/>
      <c r="B26" s="385"/>
      <c r="C26" s="386" t="s">
        <v>132</v>
      </c>
      <c r="D26" s="387"/>
      <c r="E26" s="388"/>
      <c r="F26" s="388"/>
      <c r="G26" s="388"/>
      <c r="H26" s="388"/>
      <c r="I26" s="388"/>
      <c r="J26" s="388"/>
      <c r="K26" s="388"/>
      <c r="L26" s="388"/>
      <c r="M26" s="389"/>
      <c r="N26" s="5"/>
    </row>
    <row r="27" spans="1:17" ht="39.950000000000003" customHeight="1" thickBot="1" x14ac:dyDescent="0.3">
      <c r="A27" s="5"/>
      <c r="B27" s="398"/>
      <c r="C27" s="495" t="s">
        <v>133</v>
      </c>
      <c r="D27" s="496"/>
      <c r="E27" s="497"/>
      <c r="F27" s="497"/>
      <c r="G27" s="497"/>
      <c r="H27" s="537"/>
      <c r="I27" s="498">
        <v>840</v>
      </c>
      <c r="J27" s="499" t="s">
        <v>4</v>
      </c>
      <c r="K27" s="498">
        <v>750</v>
      </c>
      <c r="L27" s="499" t="s">
        <v>4</v>
      </c>
      <c r="M27" s="403"/>
      <c r="N27" s="5"/>
    </row>
    <row r="28" spans="1:17" ht="39.950000000000003" customHeight="1" thickBot="1" x14ac:dyDescent="0.3">
      <c r="A28" s="5"/>
      <c r="B28" s="398"/>
      <c r="C28" s="495" t="s">
        <v>134</v>
      </c>
      <c r="D28" s="496"/>
      <c r="E28" s="497"/>
      <c r="F28" s="497"/>
      <c r="G28" s="497"/>
      <c r="H28" s="537"/>
      <c r="I28" s="498">
        <v>120</v>
      </c>
      <c r="J28" s="499" t="s">
        <v>135</v>
      </c>
      <c r="K28" s="498">
        <v>110</v>
      </c>
      <c r="L28" s="499" t="s">
        <v>135</v>
      </c>
      <c r="M28" s="403"/>
      <c r="N28" s="5"/>
    </row>
    <row r="29" spans="1:17" ht="39.950000000000003" customHeight="1" thickBot="1" x14ac:dyDescent="0.3">
      <c r="A29" s="5"/>
      <c r="B29" s="398"/>
      <c r="C29" s="495" t="s">
        <v>136</v>
      </c>
      <c r="D29" s="496"/>
      <c r="E29" s="497"/>
      <c r="F29" s="497"/>
      <c r="G29" s="497"/>
      <c r="H29" s="537"/>
      <c r="I29" s="498">
        <v>250</v>
      </c>
      <c r="J29" s="499" t="s">
        <v>99</v>
      </c>
      <c r="K29" s="498">
        <v>210</v>
      </c>
      <c r="L29" s="499" t="s">
        <v>99</v>
      </c>
      <c r="M29" s="403"/>
      <c r="N29" s="5"/>
    </row>
    <row r="30" spans="1:17" ht="14.1" customHeight="1" x14ac:dyDescent="0.25">
      <c r="A30" s="5"/>
      <c r="B30" s="441"/>
      <c r="C30" s="442"/>
      <c r="D30" s="443"/>
      <c r="E30" s="444"/>
      <c r="F30" s="445"/>
      <c r="G30" s="446"/>
      <c r="H30" s="445"/>
      <c r="I30" s="446"/>
      <c r="J30" s="445"/>
      <c r="K30" s="446"/>
      <c r="L30" s="447"/>
      <c r="M30" s="408"/>
      <c r="N30" s="5"/>
    </row>
    <row r="31" spans="1:17" ht="24.95" customHeight="1" x14ac:dyDescent="0.25">
      <c r="A31" s="5"/>
      <c r="B31" s="448"/>
      <c r="C31" s="500" t="s">
        <v>137</v>
      </c>
      <c r="D31" s="447"/>
      <c r="E31" s="449"/>
      <c r="F31" s="450"/>
      <c r="G31" s="451"/>
      <c r="H31" s="447"/>
      <c r="I31" s="447"/>
      <c r="J31" s="447"/>
      <c r="K31" s="451"/>
      <c r="L31" s="447"/>
      <c r="M31" s="397"/>
      <c r="N31" s="5"/>
    </row>
    <row r="32" spans="1:17" ht="18" customHeight="1" x14ac:dyDescent="0.25">
      <c r="A32" s="5"/>
      <c r="B32" s="453"/>
      <c r="C32" s="367"/>
      <c r="D32" s="367"/>
      <c r="E32" s="454"/>
      <c r="F32" s="455"/>
      <c r="G32" s="456"/>
      <c r="H32" s="367"/>
      <c r="I32" s="367"/>
      <c r="J32" s="367"/>
      <c r="K32" s="456"/>
      <c r="L32" s="367"/>
      <c r="M32" s="457"/>
      <c r="N32" s="5"/>
    </row>
    <row r="33" spans="1:14" ht="20.100000000000001" customHeight="1" x14ac:dyDescent="0.25">
      <c r="A33" s="5"/>
      <c r="B33" s="5"/>
      <c r="C33" s="538"/>
      <c r="D33" s="539"/>
      <c r="E33" s="540"/>
      <c r="F33" s="541"/>
      <c r="G33" s="542"/>
      <c r="H33" s="541"/>
      <c r="I33" s="542"/>
      <c r="J33" s="541"/>
      <c r="K33" s="542"/>
      <c r="L33" s="541"/>
      <c r="M33" s="5"/>
      <c r="N33" s="5"/>
    </row>
  </sheetData>
  <sheetProtection algorithmName="SHA-512" hashValue="JTVV0GpnGOfOiabvtRKhHNfNsMOWToU8vPoRQ8R8LoxMXaGRWxcZmXLaKhTdQ0IVSZU1KPQmL0oUqDmFXtNnqA==" saltValue="3P2AKoG2/xT8aGjebq6RnQ==" spinCount="100000" sheet="1" objects="1" scenarios="1"/>
  <mergeCells count="1">
    <mergeCell ref="C4:D4"/>
  </mergeCells>
  <pageMargins left="0.31496062992125984" right="0.19685039370078741" top="0.39370078740157483" bottom="0.19685039370078741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Masse &amp; Centrage</vt:lpstr>
      <vt:lpstr>Perfos Départ</vt:lpstr>
      <vt:lpstr>Perfos Destination</vt:lpstr>
      <vt:lpstr>Perfos Dégagement</vt:lpstr>
      <vt:lpstr>Résumé</vt:lpstr>
      <vt:lpstr>MdV DR221 Perfos</vt:lpstr>
      <vt:lpstr>acd</vt:lpstr>
      <vt:lpstr>'Masse &amp; Centrage'!bagages</vt:lpstr>
      <vt:lpstr>'Masse &amp; Centrage'!brasCG</vt:lpstr>
      <vt:lpstr>'Masse &amp; Centrage'!central</vt:lpstr>
      <vt:lpstr>'Masse &amp; Centrage'!conso75</vt:lpstr>
      <vt:lpstr>erty</vt:lpstr>
      <vt:lpstr>'Masse &amp; Centrage'!immat</vt:lpstr>
      <vt:lpstr>'Masse &amp; Centrage'!inutiles</vt:lpstr>
      <vt:lpstr>'Masse &amp; Centrage'!massevide</vt:lpstr>
      <vt:lpstr>'Masse &amp; Centrage'!poidsmax</vt:lpstr>
      <vt:lpstr>Résumé!Print_Area</vt:lpstr>
      <vt:lpstr>'Masse &amp; Centrage'!type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Florent GASSEAU</cp:lastModifiedBy>
  <cp:lastPrinted>2026-06-03T22:38:35Z</cp:lastPrinted>
  <dcterms:created xsi:type="dcterms:W3CDTF">2019-05-03T17:18:50Z</dcterms:created>
  <dcterms:modified xsi:type="dcterms:W3CDTF">2026-06-12T12:34:27Z</dcterms:modified>
</cp:coreProperties>
</file>